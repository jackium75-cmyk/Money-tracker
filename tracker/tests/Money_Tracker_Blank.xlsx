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Transactions" sheetId="3" state="visible" r:id="rId5"/>
    <sheet name="Income" sheetId="4" state="visible" r:id="rId6"/>
    <sheet name="Budget" sheetId="5" state="visible" r:id="rId7"/>
    <sheet name="Search" sheetId="6" state="visible" r:id="rId8"/>
    <sheet name="Year View" sheetId="7" state="visible" r:id="rId9"/>
    <sheet name="Settings" sheetId="8" state="visible" r:id="rId10"/>
  </sheets>
  <definedNames>
    <definedName function="false" hidden="false" localSheetId="3" name="_xlnm.Print_Titles" vbProcedure="false">Income!$4:$4</definedName>
    <definedName function="false" hidden="true" localSheetId="3" name="_xlnm._FilterDatabase" vbProcedure="false">Income!$A$4:$F$2004</definedName>
    <definedName function="false" hidden="false" localSheetId="2" name="_xlnm.Print_Titles" vbProcedure="false">Transactions!$4:$4</definedName>
    <definedName function="false" hidden="true" localSheetId="2" name="_xlnm._FilterDatabase" vbProcedure="false">Transactions!$A$4:$G$5004</definedName>
    <definedName function="false" hidden="false" name="CategoryFilterList" vbProcedure="false">OFFSET(Settings!$C$6,0,0,MAX(1,COUNTIF(Settings!$C$6:$C$22,"?*")),1)</definedName>
    <definedName function="false" hidden="false" name="CategoryList" vbProcedure="false">OFFSET(Settings!$B$6,0,0,MAX(1,COUNTA(Settings!$B$6:$B$21)),1)</definedName>
    <definedName function="false" hidden="false" name="DaysElapsed" vbProcedure="false">Settings!$K$10</definedName>
    <definedName function="false" hidden="false" name="DaysInMonth" vbProcedure="false">Settings!$K$8</definedName>
    <definedName function="false" hidden="false" name="DaysLeft" vbProcedure="false">Settings!$K$11</definedName>
    <definedName function="false" hidden="false" name="IncomeSourceList" vbProcedure="false">OFFSET(Settings!$E$6,0,0,MAX(1,COUNTA(Settings!$E$6:$E$13)),1)</definedName>
    <definedName function="false" hidden="false" name="IsCurrent" vbProcedure="false">Settings!$K$12</definedName>
    <definedName function="false" hidden="false" name="PaymentList" vbProcedure="false">OFFSET(Settings!$D$6,0,0,MAX(1,COUNTA(Settings!$D$6:$D$13)),1)</definedName>
    <definedName function="false" hidden="false" name="PeriodEnd" vbProcedure="false">Settings!$K$7</definedName>
    <definedName function="false" hidden="false" name="PeriodList" vbProcedure="false">Settings!$F$6:$F$8</definedName>
    <definedName function="false" hidden="false" name="PeriodStart" vbProcedure="false">Settings!$K$6</definedName>
    <definedName function="false" hidden="false" name="WarnPct" vbProcedure="false">Settings!$K$16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<sst xmlns="http://schemas.openxmlformats.org/spreadsheetml/2006/main" count="314" uniqueCount="231">
  <si>
    <t xml:space="preserve">Money Tracker</t>
  </si>
  <si>
    <t xml:space="preserve">Income  |  Budgets  |  Daily Spending  |  Insights   -   all amounts in Kenya Shillings (KES)</t>
  </si>
  <si>
    <t xml:space="preserve">HOW TO USE IT - 5 SIMPLE STEPS</t>
  </si>
  <si>
    <t xml:space="preserve">1</t>
  </si>
  <si>
    <t xml:space="preserve">Settings</t>
  </si>
  <si>
    <t xml:space="preserve">Look at the lists once (categories, payment methods, income sources) and rename them to suit you.</t>
  </si>
  <si>
    <t xml:space="preserve">2</t>
  </si>
  <si>
    <t xml:space="preserve">Budget</t>
  </si>
  <si>
    <t xml:space="preserve">For each category choose Daily, Weekly or Monthly and type the amount. Set it once - it repeats every month by itself.</t>
  </si>
  <si>
    <t xml:space="preserve">3</t>
  </si>
  <si>
    <t xml:space="preserve">Income</t>
  </si>
  <si>
    <t xml:space="preserve">Every time money comes in, add a row: date, source, amount.</t>
  </si>
  <si>
    <t xml:space="preserve">4</t>
  </si>
  <si>
    <t xml:space="preserve">Transactions</t>
  </si>
  <si>
    <t xml:space="preserve">Every time you spend, add a row: date, time, item, category, amount, how you paid.</t>
  </si>
  <si>
    <t xml:space="preserve">5</t>
  </si>
  <si>
    <t xml:space="preserve">Dashboard</t>
  </si>
  <si>
    <t xml:space="preserve">Pick the Year and Month at the top to see totals, overspending alerts, weekly, daily and category analysis.</t>
  </si>
  <si>
    <t xml:space="preserve">FINDING THINGS</t>
  </si>
  <si>
    <t xml:space="preserve">Search sheet: filter by date range, product name, category or time of day and see matching transactions and their total instantly.  Transactions &amp; Income sheets: use the small filter arrows on row 4 to sort or filter by any column.</t>
  </si>
  <si>
    <t xml:space="preserve">Open the Search sheet</t>
  </si>
  <si>
    <t xml:space="preserve">COLOUR GUIDE</t>
  </si>
  <si>
    <t xml:space="preserve">Yellow cell, blue text</t>
  </si>
  <si>
    <t xml:space="preserve">You type here.</t>
  </si>
  <si>
    <t xml:space="preserve">White / grey cell</t>
  </si>
  <si>
    <t xml:space="preserve">Automatic - formulas live here, please don't type over them.</t>
  </si>
  <si>
    <t xml:space="preserve">OK</t>
  </si>
  <si>
    <t xml:space="preserve">Green</t>
  </si>
  <si>
    <t xml:space="preserve">Within budget.</t>
  </si>
  <si>
    <t xml:space="preserve">Watch</t>
  </si>
  <si>
    <t xml:space="preserve">Amber</t>
  </si>
  <si>
    <t xml:space="preserve">Close to the limit (default: 80% of budget used - change on Settings).</t>
  </si>
  <si>
    <t xml:space="preserve">OVER</t>
  </si>
  <si>
    <t xml:space="preserve">Red</t>
  </si>
  <si>
    <t xml:space="preserve">You are overspending.</t>
  </si>
  <si>
    <t xml:space="preserve">WHAT A ROW LOOKS LIKE (EXAMPLE)</t>
  </si>
  <si>
    <t xml:space="preserve">Time</t>
  </si>
  <si>
    <t xml:space="preserve">Date</t>
  </si>
  <si>
    <t xml:space="preserve">Item / Product</t>
  </si>
  <si>
    <t xml:space="preserve">Category</t>
  </si>
  <si>
    <t xml:space="preserve">Amount (KES)</t>
  </si>
  <si>
    <t xml:space="preserve">Paid With</t>
  </si>
  <si>
    <t xml:space="preserve">1:15 PM</t>
  </si>
  <si>
    <t xml:space="preserve">Lunch at Java House</t>
  </si>
  <si>
    <t xml:space="preserve">Eating Out</t>
  </si>
  <si>
    <t xml:space="preserve">M-Pesa</t>
  </si>
  <si>
    <t xml:space="preserve">HANDY SHORTCUTS</t>
  </si>
  <si>
    <t xml:space="preserve">Ctrl + ;</t>
  </si>
  <si>
    <t xml:space="preserve">type today's date</t>
  </si>
  <si>
    <t xml:space="preserve">Ctrl + Shift + ;</t>
  </si>
  <si>
    <t xml:space="preserve">type the current time</t>
  </si>
  <si>
    <t xml:space="preserve">Alt + Down Arrow</t>
  </si>
  <si>
    <t xml:space="preserve">open a dropdown list in the selected cell</t>
  </si>
  <si>
    <t xml:space="preserve">Ctrl + D</t>
  </si>
  <si>
    <t xml:space="preserve">copy the cell above into the selected cell</t>
  </si>
  <si>
    <t xml:space="preserve">GOOD TO KNOW</t>
  </si>
  <si>
    <t xml:space="preserve">-</t>
  </si>
  <si>
    <t xml:space="preserve">Capacity: 5,000 transactions, 2,000 income entries and 40 budget lines. Plenty for a year or more of daily use.</t>
  </si>
  <si>
    <t xml:space="preserve">Budgets are not tied to a month: set once, they apply to every month. Use the Starts/Ends columns to keep history when a budget changes.</t>
  </si>
  <si>
    <t xml:space="preserve">Overspending alerts: total budget, each category, each week and each day are checked automatically. The Dashboard banner tells you in plain words where you stand.</t>
  </si>
  <si>
    <t xml:space="preserve">Savings, chama contributions or loan repayments count as money going out - give them a category (e.g. 'Loans &amp; Debt') if you want them budgeted.</t>
  </si>
  <si>
    <t xml:space="preserve">The Dashboard and Year View are protected so formulas can't be damaged by accident (Review &gt; Unprotect Sheet - no password).</t>
  </si>
  <si>
    <t xml:space="preserve">Back up often: save a copy of this file at month-end (File &gt; Save a Copy).</t>
  </si>
  <si>
    <t xml:space="preserve">ALL SHEETS</t>
  </si>
  <si>
    <t xml:space="preserve">Totals, alerts, charts and analysis for any month</t>
  </si>
  <si>
    <t xml:space="preserve">Your daily spending log</t>
  </si>
  <si>
    <t xml:space="preserve">Where your money comes from</t>
  </si>
  <si>
    <t xml:space="preserve">Daily, weekly or monthly budgets per category</t>
  </si>
  <si>
    <t xml:space="preserve">Search</t>
  </si>
  <si>
    <t xml:space="preserve">Find any transaction by date, time, product or category</t>
  </si>
  <si>
    <t xml:space="preserve">Year View</t>
  </si>
  <si>
    <t xml:space="preserve">Month-by-month overview for the whole year</t>
  </si>
  <si>
    <t xml:space="preserve">Categories, payment methods, income sources and alert level</t>
  </si>
  <si>
    <t xml:space="preserve">Personal Finance Dashboard</t>
  </si>
  <si>
    <t xml:space="preserve">Choose the period to analyse:</t>
  </si>
  <si>
    <t xml:space="preserve">Year</t>
  </si>
  <si>
    <t xml:space="preserve">Month</t>
  </si>
  <si>
    <t xml:space="preserve">Use the two dropdowns</t>
  </si>
  <si>
    <t xml:space="preserve">October</t>
  </si>
  <si>
    <t xml:space="preserve">TOTAL INCOME</t>
  </si>
  <si>
    <t xml:space="preserve">TOTAL SPENT</t>
  </si>
  <si>
    <t xml:space="preserve">NET SAVINGS</t>
  </si>
  <si>
    <t xml:space="preserve">SAVINGS RATE</t>
  </si>
  <si>
    <t xml:space="preserve">BUDGET USED</t>
  </si>
  <si>
    <t xml:space="preserve">BUDGET STATUS</t>
  </si>
  <si>
    <t xml:space="preserve">SPENDING HEALTH</t>
  </si>
  <si>
    <t xml:space="preserve">WEEKLY BREAKDOWN</t>
  </si>
  <si>
    <t xml:space="preserve">Total budget for the month</t>
  </si>
  <si>
    <t xml:space="preserve">Week</t>
  </si>
  <si>
    <t xml:space="preserve">Dates</t>
  </si>
  <si>
    <t xml:space="preserve">Spent</t>
  </si>
  <si>
    <t xml:space="preserve">Status</t>
  </si>
  <si>
    <t xml:space="preserve">Spent so far</t>
  </si>
  <si>
    <t xml:space="preserve">Week 1</t>
  </si>
  <si>
    <t xml:space="preserve">Budget remaining</t>
  </si>
  <si>
    <t xml:space="preserve">Week 2</t>
  </si>
  <si>
    <t xml:space="preserve">Expected spend by today (pace)</t>
  </si>
  <si>
    <t xml:space="preserve">Week 3</t>
  </si>
  <si>
    <t xml:space="preserve">Ahead (+) / behind (-) of pace</t>
  </si>
  <si>
    <t xml:space="preserve">Week 4</t>
  </si>
  <si>
    <t xml:space="preserve">Projected month-end spend</t>
  </si>
  <si>
    <t xml:space="preserve">Week 5</t>
  </si>
  <si>
    <t xml:space="preserve">Projected over (+) / under (-) budget</t>
  </si>
  <si>
    <t xml:space="preserve">Total</t>
  </si>
  <si>
    <t xml:space="preserve">Safe to spend per day (rest of month)</t>
  </si>
  <si>
    <t xml:space="preserve">Average spend per day</t>
  </si>
  <si>
    <t xml:space="preserve">Weekly budget = your monthly budget spread evenly across the days of each week.</t>
  </si>
  <si>
    <t xml:space="preserve">Categories over budget</t>
  </si>
  <si>
    <t xml:space="preserve">BUDGET vs ACTUAL BY CATEGORY</t>
  </si>
  <si>
    <t xml:space="preserve">Remaining</t>
  </si>
  <si>
    <t xml:space="preserve">% Used</t>
  </si>
  <si>
    <t xml:space="preserve">TOTAL</t>
  </si>
  <si>
    <t xml:space="preserve">INCOME BY SOURCE</t>
  </si>
  <si>
    <t xml:space="preserve">SPENDING BY PAYMENT METHOD</t>
  </si>
  <si>
    <t xml:space="preserve">Source</t>
  </si>
  <si>
    <t xml:space="preserve">Share</t>
  </si>
  <si>
    <t xml:space="preserve">Method</t>
  </si>
  <si>
    <t xml:space="preserve">TOP 5 BIGGEST EXPENSES THIS PERIOD</t>
  </si>
  <si>
    <t xml:space="preserve">Item</t>
  </si>
  <si>
    <t xml:space="preserve">Amount</t>
  </si>
  <si>
    <t xml:space="preserve">DAILY SPENDING vs DAILY ALLOWANCE</t>
  </si>
  <si>
    <t xml:space="preserve">Day</t>
  </si>
  <si>
    <t xml:space="preserve">Daily allowance</t>
  </si>
  <si>
    <t xml:space="preserve">Sample or real, every figure on this page is calculated from the Transactions, Income and Budget sheets - nothing here needs typing except the Year and Month at the top.</t>
  </si>
  <si>
    <t xml:space="preserve">Daily Transactions</t>
  </si>
  <si>
    <t xml:space="preserve">Record every spend on its own row the day it happens.  Shortcuts: Ctrl+;  = today's date   |   Ctrl+Shift+;  = current time   |   Alt+Down Arrow = open a dropdown.  Use the filter arrows on row 4 to find anything by date, time or item.</t>
  </si>
  <si>
    <t xml:space="preserve">Records:</t>
  </si>
  <si>
    <t xml:space="preserve">Total recorded (all dates, KES):</t>
  </si>
  <si>
    <t xml:space="preserve">Notes</t>
  </si>
  <si>
    <t xml:space="preserve">match #</t>
  </si>
  <si>
    <t xml:space="preserve">match amt</t>
  </si>
  <si>
    <t xml:space="preserve">top key</t>
  </si>
  <si>
    <t xml:space="preserve">Income Sources &amp; Receipts</t>
  </si>
  <si>
    <t xml:space="preserve">Record every payment you receive - salary, client payments, side income, gifts. Pick the source from the dropdown (edit the list on the Settings sheet).</t>
  </si>
  <si>
    <t xml:space="preserve">Entries:</t>
  </si>
  <si>
    <t xml:space="preserve">Total income recorded (all dates, KES):</t>
  </si>
  <si>
    <t xml:space="preserve">Income Source</t>
  </si>
  <si>
    <t xml:space="preserve">Description</t>
  </si>
  <si>
    <t xml:space="preserve">Received Via</t>
  </si>
  <si>
    <t xml:space="preserve">Budgets</t>
  </si>
  <si>
    <t xml:space="preserve">Set a budget ONCE and it repeats automatically every month. Choose Daily, Weekly or Monthly and type the amount. Need to change a budget later without altering past months? Put an 'Ends' date on the old line and add a new line with a 'Starts' date.</t>
  </si>
  <si>
    <t xml:space="preserve">All lines combined:</t>
  </si>
  <si>
    <t xml:space="preserve">Budget Period</t>
  </si>
  <si>
    <t xml:space="preserve">Budget Amount (KES)</t>
  </si>
  <si>
    <t xml:space="preserve">Starts (optional)</t>
  </si>
  <si>
    <t xml:space="preserve">Ends (optional)</t>
  </si>
  <si>
    <t xml:space="preserve">Per Day</t>
  </si>
  <si>
    <t xml:space="preserve">Per Week</t>
  </si>
  <si>
    <t xml:space="preserve">Per Month (avg)</t>
  </si>
  <si>
    <t xml:space="preserve">Monthly</t>
  </si>
  <si>
    <t xml:space="preserve">Search Transactions</t>
  </si>
  <si>
    <t xml:space="preserve">Fill in any of the yellow boxes - leave the rest empty. Results appear below instantly.</t>
  </si>
  <si>
    <t xml:space="preserve">From date</t>
  </si>
  <si>
    <t xml:space="preserve">Leave empty for 'any date'</t>
  </si>
  <si>
    <t xml:space="preserve">To date</t>
  </si>
  <si>
    <t xml:space="preserve">Product / item contains</t>
  </si>
  <si>
    <t xml:space="preserve">Type part of the name, e.g. 'naivas' or 'uber'</t>
  </si>
  <si>
    <t xml:space="preserve">All</t>
  </si>
  <si>
    <t xml:space="preserve">Pick a category or 'All'</t>
  </si>
  <si>
    <t xml:space="preserve">Time from</t>
  </si>
  <si>
    <t xml:space="preserve">Optional - e.g. 6:00 PM (use with 'Time to')</t>
  </si>
  <si>
    <t xml:space="preserve">Time to</t>
  </si>
  <si>
    <t xml:space="preserve">Optional - e.g. 11:30 PM</t>
  </si>
  <si>
    <t xml:space="preserve">Matches found</t>
  </si>
  <si>
    <t xml:space="preserve">Total amount (KES)</t>
  </si>
  <si>
    <t xml:space="preserve">#</t>
  </si>
  <si>
    <t xml:space="preserve">Month-by-month income, spending and budget performance. Change the year on the Dashboard.</t>
  </si>
  <si>
    <t xml:space="preserve">Net Savings</t>
  </si>
  <si>
    <t xml:space="preserve">Savings Rate</t>
  </si>
  <si>
    <t xml:space="preserve">Budget Used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</si>
  <si>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</si>
  <si>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</si>
  <si>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</si>
  <si>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</si>
  <si>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</si>
  <si>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</si>
  <si>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</si>
  <si>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</si>
  <si>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</si>
  <si>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November</t>
  </si>
  <si>
    <t xml:space="preserve">December</t>
  </si>
  <si>
    <t xml:space="preserve">YEAR TOTAL</t>
  </si>
  <si>
    <t xml:space="preserve">Settings &amp; Lists</t>
  </si>
  <si>
    <t xml:space="preserve">Rename the items below to suit you. These lists feed every dropdown in the workbook. Tip: rename a category only if it has no transactions yet - otherwise old entries will no longer match.</t>
  </si>
  <si>
    <t xml:space="preserve">Expense Categories (16)</t>
  </si>
  <si>
    <t xml:space="preserve">Category filter (auto)</t>
  </si>
  <si>
    <t xml:space="preserve">Payment Methods (8)</t>
  </si>
  <si>
    <t xml:space="preserve">Income Sources (8)</t>
  </si>
  <si>
    <t xml:space="preserve">Budget Periods</t>
  </si>
  <si>
    <t xml:space="preserve">Months</t>
  </si>
  <si>
    <t xml:space="preserve">Years</t>
  </si>
  <si>
    <t xml:space="preserve">Period calculations (automatic - do not edit)</t>
  </si>
  <si>
    <t xml:space="preserve">Food &amp; Groceries</t>
  </si>
  <si>
    <t xml:space="preserve">Cash</t>
  </si>
  <si>
    <t xml:space="preserve">Salary</t>
  </si>
  <si>
    <t xml:space="preserve">Daily</t>
  </si>
  <si>
    <t xml:space="preserve">Period start</t>
  </si>
  <si>
    <t xml:space="preserve">Business Income</t>
  </si>
  <si>
    <t xml:space="preserve">Weekly</t>
  </si>
  <si>
    <t xml:space="preserve">Period end</t>
  </si>
  <si>
    <t xml:space="preserve">Rent &amp; Housing</t>
  </si>
  <si>
    <t xml:space="preserve">Bank Card</t>
  </si>
  <si>
    <t xml:space="preserve">Freelance / Client Project</t>
  </si>
  <si>
    <t xml:space="preserve">Days in month</t>
  </si>
  <si>
    <t xml:space="preserve">Utilities</t>
  </si>
  <si>
    <t xml:space="preserve">Bank Transfer</t>
  </si>
  <si>
    <t xml:space="preserve">Side Hustle</t>
  </si>
  <si>
    <t xml:space="preserve">Today</t>
  </si>
  <si>
    <t xml:space="preserve">Transport &amp; Fuel</t>
  </si>
  <si>
    <t xml:space="preserve">Airtel Money</t>
  </si>
  <si>
    <t xml:space="preserve">Gift / Support</t>
  </si>
  <si>
    <t xml:space="preserve">Days elapsed</t>
  </si>
  <si>
    <t xml:space="preserve">Airtime &amp; Data</t>
  </si>
  <si>
    <t xml:space="preserve">Other</t>
  </si>
  <si>
    <t xml:space="preserve">Interest &amp; Dividends</t>
  </si>
  <si>
    <t xml:space="preserve">Days remaining</t>
  </si>
  <si>
    <t xml:space="preserve">Health &amp; Medical</t>
  </si>
  <si>
    <t xml:space="preserve">Rental Income</t>
  </si>
  <si>
    <t xml:space="preserve">Is this the current month? (1=yes)</t>
  </si>
  <si>
    <t xml:space="preserve">Education &amp; School Fees</t>
  </si>
  <si>
    <t xml:space="preserve">Other Income</t>
  </si>
  <si>
    <t xml:space="preserve">Business Expenses</t>
  </si>
  <si>
    <t xml:space="preserve">Shopping &amp; Clothing</t>
  </si>
  <si>
    <t xml:space="preserve">Alert settings</t>
  </si>
  <si>
    <t xml:space="preserve">Entertainment &amp; Leisure</t>
  </si>
  <si>
    <t xml:space="preserve">Warn me when budget used reaches</t>
  </si>
  <si>
    <t xml:space="preserve">Personal Care</t>
  </si>
  <si>
    <t xml:space="preserve">Family &amp; Support</t>
  </si>
  <si>
    <t xml:space="preserve">At or above this level a category shows 'Watch' (amber). Above 100% it shows 'OVER' (red).</t>
  </si>
  <si>
    <t xml:space="preserve">Giving &amp; Church</t>
  </si>
  <si>
    <t xml:space="preserve">Loans &amp; Debt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</si>
</sst>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dd\-mmm\-yyyy"/>
    <numFmt numFmtId="166" formatCode="#,##0.00"/>
    <numFmt numFmtId="167" formatCode="0"/>
    <numFmt numFmtId="168" formatCode="&quot;KES &quot;#,##0;[RED]&quot;-KES &quot;#,##0"/>
    <numFmt numFmtId="169" formatCode="0.0%;[RED]\-0.0%;0.0%"/>
    <numFmt numFmtId="170" formatCode="0%"/>
    <numFmt numFmtId="171" formatCode="#,##0;[RED]\-#,##0;\-"/>
    <numFmt numFmtId="172" formatCode="\+#,##0;\-#,##0;\-"/>
    <numFmt numFmtId="173" formatCode="dd\-mmm\-yy"/>
    <numFmt numFmtId="174" formatCode="General"/>
    <numFmt numFmtId="175" formatCode="#,##0"/>
    <numFmt numFmtId="176" formatCode="hh:mm\ AM/PM"/>
    <numFmt numFmtId="177" formatCode="0%;[RED]\-0%;\-"/>
  </numFmts>
  <fonts count="4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26"/>
      <color rgb="FFFFFFFF"/>
      <name val="Arial"/>
      <family val="0"/>
      <charset val="1"/>
    </font>
    <font>
      <sz val="10"/>
      <color rgb="FFC7D2E8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u val="single"/>
      <sz val="11"/>
      <color rgb="FF0F766E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u val="single"/>
      <sz val="10"/>
      <color rgb="FF0F766E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6B7280"/>
      <name val="Arial"/>
      <family val="0"/>
      <charset val="1"/>
    </font>
    <font>
      <b val="true"/>
      <sz val="9"/>
      <color rgb="FF067647"/>
      <name val="Arial"/>
      <family val="0"/>
      <charset val="1"/>
    </font>
    <font>
      <b val="true"/>
      <sz val="10"/>
      <color rgb="FF067647"/>
      <name val="Arial"/>
      <family val="0"/>
      <charset val="1"/>
    </font>
    <font>
      <b val="true"/>
      <sz val="8"/>
      <color rgb="FFB54708"/>
      <name val="Arial"/>
      <family val="0"/>
      <charset val="1"/>
    </font>
    <font>
      <b val="true"/>
      <sz val="10"/>
      <color rgb="FFB54708"/>
      <name val="Arial"/>
      <family val="0"/>
      <charset val="1"/>
    </font>
    <font>
      <b val="true"/>
      <sz val="8"/>
      <color rgb="FFB42318"/>
      <name val="Arial"/>
      <family val="0"/>
      <charset val="1"/>
    </font>
    <font>
      <b val="true"/>
      <sz val="10"/>
      <color rgb="FFB4231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b val="true"/>
      <sz val="10"/>
      <color rgb="FF0F766E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b val="true"/>
      <sz val="9"/>
      <color rgb="FF6B728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8"/>
      <color rgb="FF1F2A44"/>
      <name val="Arial"/>
      <family val="0"/>
      <charset val="1"/>
    </font>
    <font>
      <b val="true"/>
      <sz val="14"/>
      <color rgb="FF1F2A44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i val="true"/>
      <sz val="8"/>
      <color rgb="FF6B7280"/>
      <name val="Arial"/>
      <family val="0"/>
      <charset val="1"/>
    </font>
    <font>
      <sz val="8"/>
      <color rgb="FFF3F5F9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FFFFFF"/>
      <name val="Arial"/>
      <family val="0"/>
      <charset val="1"/>
    </font>
    <font>
      <b val="true"/>
      <sz val="9"/>
      <color rgb="FF1F2A44"/>
      <name val="Arial"/>
      <family val="0"/>
      <charset val="1"/>
    </font>
    <font>
      <sz val="8"/>
      <color rgb="FF6B7280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i val="true"/>
      <sz val="9"/>
      <color rgb="FFC7D2E8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3F5F9"/>
        <bgColor rgb="FFFFFBEB"/>
      </patternFill>
    </fill>
    <fill>
      <patternFill patternType="solid">
        <fgColor rgb="FF1F2A44"/>
        <bgColor rgb="FF1F2937"/>
      </patternFill>
    </fill>
    <fill>
      <patternFill patternType="solid">
        <fgColor rgb="FF0F766E"/>
        <bgColor rgb="FF067647"/>
      </patternFill>
    </fill>
    <fill>
      <patternFill patternType="solid">
        <fgColor rgb="FFFFFFFF"/>
        <bgColor rgb="FFFFFBEB"/>
      </patternFill>
    </fill>
    <fill>
      <patternFill patternType="solid">
        <fgColor rgb="FFFFFBEB"/>
        <bgColor rgb="FFFFFFFF"/>
      </patternFill>
    </fill>
    <fill>
      <patternFill patternType="solid">
        <fgColor rgb="FFD1FADF"/>
        <bgColor rgb="FFF3F5F9"/>
      </patternFill>
    </fill>
    <fill>
      <patternFill patternType="solid">
        <fgColor rgb="FFFEF0C7"/>
        <bgColor rgb="FFFDE2E1"/>
      </patternFill>
    </fill>
    <fill>
      <patternFill patternType="solid">
        <fgColor rgb="FFFDE2E1"/>
        <bgColor rgb="FFFEF0C7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F766E"/>
      </bottom>
      <diagonal/>
    </border>
    <border diagonalUp="false" diagonalDown="false">
      <left/>
      <right/>
      <top/>
      <bottom style="thin">
        <color rgb="FFD9DEE7"/>
      </bottom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 diagonalUp="false" diagonalDown="false">
      <left style="thin">
        <color rgb="FFD9DEE7"/>
      </left>
      <right style="thin">
        <color rgb="FFD9DEE7"/>
      </right>
      <top style="thick">
        <color rgb="FF0F766E"/>
      </top>
      <bottom/>
      <diagonal/>
    </border>
    <border diagonalUp="false" diagonalDown="false">
      <left style="thin">
        <color rgb="FFD9DEE7"/>
      </left>
      <right style="thin">
        <color rgb="FFD9DEE7"/>
      </right>
      <top style="thick">
        <color rgb="FF1F2A44"/>
      </top>
      <bottom/>
      <diagonal/>
    </border>
    <border diagonalUp="false" diagonalDown="false">
      <left style="thin">
        <color rgb="FFD9DEE7"/>
      </left>
      <right style="thin">
        <color rgb="FFD9DEE7"/>
      </right>
      <top style="thick">
        <color rgb="FFC9A227"/>
      </top>
      <bottom/>
      <diagonal/>
    </border>
    <border diagonalUp="false" diagonalDown="false">
      <left style="thin">
        <color rgb="FFD9DEE7"/>
      </left>
      <right style="thin">
        <color rgb="FFD9DEE7"/>
      </right>
      <top/>
      <bottom/>
      <diagonal/>
    </border>
    <border diagonalUp="false" diagonalDown="false">
      <left style="thin">
        <color rgb="FFD9DEE7"/>
      </left>
      <right style="thin">
        <color rgb="FFD9DEE7"/>
      </right>
      <top/>
      <bottom style="thin">
        <color rgb="FFD9DEE7"/>
      </bottom>
      <diagonal/>
    </border>
    <border diagonalUp="false" diagonalDown="false">
      <left/>
      <right/>
      <top style="thin">
        <color rgb="FF1F2A4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9" fillId="6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9" fillId="6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0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0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1" fontId="24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4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3" fillId="5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24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5" borderId="9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0" fontId="33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6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4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4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2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4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5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7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33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name val="Arial"/>
        <charset val="1"/>
        <family val="0"/>
        <b val="1"/>
        <color rgb="FFB42318"/>
      </font>
    </dxf>
    <dxf>
      <font>
        <name val="Arial"/>
        <charset val="1"/>
        <family val="0"/>
        <b val="1"/>
        <color rgb="FFB54708"/>
      </font>
    </dxf>
    <dxf>
      <font>
        <name val="Arial"/>
        <charset val="1"/>
        <family val="0"/>
        <b val="1"/>
        <color rgb="FF067647"/>
      </font>
    </dxf>
    <dxf>
      <font>
        <name val="Arial"/>
        <charset val="1"/>
        <family val="0"/>
        <b val="1"/>
        <color rgb="FFB42318"/>
      </font>
      <fill>
        <patternFill>
          <bgColor rgb="FFFDE2E1"/>
        </patternFill>
      </fill>
    </dxf>
    <dxf>
      <font>
        <name val="Arial"/>
        <charset val="1"/>
        <family val="0"/>
        <b val="1"/>
        <color rgb="FFB54708"/>
      </font>
      <fill>
        <patternFill>
          <bgColor rgb="FFFEF0C7"/>
        </patternFill>
      </fill>
    </dxf>
    <dxf>
      <font>
        <name val="Arial"/>
        <charset val="1"/>
        <family val="0"/>
        <b val="1"/>
        <color rgb="FF067647"/>
      </font>
      <fill>
        <patternFill>
          <bgColor rgb="FFD1FADF"/>
        </patternFill>
      </fill>
    </dxf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B8C4D9"/>
      <rgbColor rgb="FF878787"/>
      <rgbColor rgb="FF9999FF"/>
      <rgbColor rgb="FFC0392B"/>
      <rgbColor rgb="FFFFFBEB"/>
      <rgbColor rgb="FFF3F5F9"/>
      <rgbColor rgb="FF660066"/>
      <rgbColor rgb="FFFF8080"/>
      <rgbColor rgb="FF0066CC"/>
      <rgbColor rgb="FFC7D2E8"/>
      <rgbColor rgb="FF000080"/>
      <rgbColor rgb="FFFF00FF"/>
      <rgbColor rgb="FFFFFF00"/>
      <rgbColor rgb="FF00FFFF"/>
      <rgbColor rgb="FF800080"/>
      <rgbColor rgb="FF800000"/>
      <rgbColor rgb="FF067647"/>
      <rgbColor rgb="FF0000FF"/>
      <rgbColor rgb="FF00CCFF"/>
      <rgbColor rgb="FFD9DEE7"/>
      <rgbColor rgb="FFD1FADF"/>
      <rgbColor rgb="FFFEF0C7"/>
      <rgbColor rgb="FFD9D9D9"/>
      <rgbColor rgb="FFFF99CC"/>
      <rgbColor rgb="FFCC99FF"/>
      <rgbColor rgb="FFFDE2E1"/>
      <rgbColor rgb="FF3366FF"/>
      <rgbColor rgb="FF33CCCC"/>
      <rgbColor rgb="FF99CC00"/>
      <rgbColor rgb="FFFFCC00"/>
      <rgbColor rgb="FFC9A227"/>
      <rgbColor rgb="FFFF6600"/>
      <rgbColor rgb="FF6B7280"/>
      <rgbColor rgb="FF7C8DB5"/>
      <rgbColor rgb="FF1F2A44"/>
      <rgbColor rgb="FF339966"/>
      <rgbColor rgb="FF003300"/>
      <rgbColor rgb="FF333300"/>
      <rgbColor rgb="FFB42318"/>
      <rgbColor rgb="FFB54708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 Spent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Dashboard!C25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b8c4d9"/>
            </a:solidFill>
            <a:ln w="0">
              <a:solidFill>
                <a:srgbClr val="b8c4d9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Dashboard!$B$26:$B$41</c:f>
              <c:strCache>
                <c:ptCount val="16"/>
                <c:pt idx="0">
                  <c:v>Food &amp; Groceries</c:v>
                </c:pt>
                <c:pt idx="1">
                  <c:v>Eating Out</c:v>
                </c:pt>
                <c:pt idx="2">
                  <c:v>Rent &amp; Housing</c:v>
                </c:pt>
                <c:pt idx="3">
                  <c:v>Utilities</c:v>
                </c:pt>
                <c:pt idx="4">
                  <c:v>Transport &amp; Fuel</c:v>
                </c:pt>
                <c:pt idx="5">
                  <c:v>Airtime &amp; Data</c:v>
                </c:pt>
                <c:pt idx="6">
                  <c:v>Health &amp; Medical</c:v>
                </c:pt>
                <c:pt idx="7">
                  <c:v>Education &amp; School Fees</c:v>
                </c:pt>
                <c:pt idx="8">
                  <c:v>Business Expenses</c:v>
                </c:pt>
                <c:pt idx="9">
                  <c:v>Shopping &amp; Clothing</c:v>
                </c:pt>
                <c:pt idx="10">
                  <c:v>Entertainment &amp; Leisure</c:v>
                </c:pt>
                <c:pt idx="11">
                  <c:v>Personal Care</c:v>
                </c:pt>
                <c:pt idx="12">
                  <c:v>Family &amp; Support</c:v>
                </c:pt>
                <c:pt idx="13">
                  <c:v>Giving &amp; Church</c:v>
                </c:pt>
                <c:pt idx="14">
                  <c:v>Loans &amp; Debt</c:v>
                </c:pt>
                <c:pt idx="15">
                  <c:v>Other</c:v>
                </c:pt>
              </c:strCache>
            </c:strRef>
          </c:cat>
          <c:val>
            <c:numRef>
              <c:f>Dashboard!$C$26:$C$41</c:f>
              <c:numCache>
                <c:formatCode>#,##0;[RED]\-#,##0;\-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Dashboard!D25</c:f>
              <c:strCache>
                <c:ptCount val="1"/>
                <c:pt idx="0">
                  <c:v>Spent</c:v>
                </c:pt>
              </c:strCache>
            </c:strRef>
          </c:tx>
          <c:spPr>
            <a:solidFill>
              <a:srgbClr val="0f766e"/>
            </a:solidFill>
            <a:ln w="0">
              <a:solidFill>
                <a:srgbClr val="0f766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Dashboard!$B$26:$B$41</c:f>
              <c:strCache>
                <c:ptCount val="16"/>
                <c:pt idx="0">
                  <c:v>Food &amp; Groceries</c:v>
                </c:pt>
                <c:pt idx="1">
                  <c:v>Eating Out</c:v>
                </c:pt>
                <c:pt idx="2">
                  <c:v>Rent &amp; Housing</c:v>
                </c:pt>
                <c:pt idx="3">
                  <c:v>Utilities</c:v>
                </c:pt>
                <c:pt idx="4">
                  <c:v>Transport &amp; Fuel</c:v>
                </c:pt>
                <c:pt idx="5">
                  <c:v>Airtime &amp; Data</c:v>
                </c:pt>
                <c:pt idx="6">
                  <c:v>Health &amp; Medical</c:v>
                </c:pt>
                <c:pt idx="7">
                  <c:v>Education &amp; School Fees</c:v>
                </c:pt>
                <c:pt idx="8">
                  <c:v>Business Expenses</c:v>
                </c:pt>
                <c:pt idx="9">
                  <c:v>Shopping &amp; Clothing</c:v>
                </c:pt>
                <c:pt idx="10">
                  <c:v>Entertainment &amp; Leisure</c:v>
                </c:pt>
                <c:pt idx="11">
                  <c:v>Personal Care</c:v>
                </c:pt>
                <c:pt idx="12">
                  <c:v>Family &amp; Support</c:v>
                </c:pt>
                <c:pt idx="13">
                  <c:v>Giving &amp; Church</c:v>
                </c:pt>
                <c:pt idx="14">
                  <c:v>Loans &amp; Debt</c:v>
                </c:pt>
                <c:pt idx="15">
                  <c:v>Other</c:v>
                </c:pt>
              </c:strCache>
            </c:strRef>
          </c:cat>
          <c:val>
            <c:numRef>
              <c:f>Dashboard!$D$26:$D$41</c:f>
              <c:numCache>
                <c:formatCode>#,##0;[RED]\-#,##0;\-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50"/>
        <c:overlap val="0"/>
        <c:axId val="13881894"/>
        <c:axId val="29386704"/>
      </c:barChart>
      <c:catAx>
        <c:axId val="1388189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386704"/>
        <c:crosses val="autoZero"/>
        <c:auto val="1"/>
        <c:lblAlgn val="ctr"/>
        <c:lblOffset val="100"/>
        <c:noMultiLvlLbl val="0"/>
      </c:catAx>
      <c:valAx>
        <c:axId val="293867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88189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Income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Dashboard!C46</c:f>
              <c:strCache>
                <c:ptCount val="1"/>
                <c:pt idx="0">
                  <c:v>Amount (KES)</c:v>
                </c:pt>
              </c:strCache>
            </c:strRef>
          </c:tx>
          <c:spPr>
            <a:solidFill>
              <a:srgbClr val="c9a227"/>
            </a:solidFill>
            <a:ln w="0">
              <a:solidFill>
                <a:srgbClr val="c9a22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Dashboard!$B$47:$B$54</c:f>
              <c:strCache>
                <c:ptCount val="8"/>
                <c:pt idx="0">
                  <c:v>Salary</c:v>
                </c:pt>
                <c:pt idx="1">
                  <c:v>Business Income</c:v>
                </c:pt>
                <c:pt idx="2">
                  <c:v>Freelance / Client Project</c:v>
                </c:pt>
                <c:pt idx="3">
                  <c:v>Side Hustle</c:v>
                </c:pt>
                <c:pt idx="4">
                  <c:v>Gift / Support</c:v>
                </c:pt>
                <c:pt idx="5">
                  <c:v>Interest &amp; Dividends</c:v>
                </c:pt>
                <c:pt idx="6">
                  <c:v>Rental Income</c:v>
                </c:pt>
                <c:pt idx="7">
                  <c:v>Other Income</c:v>
                </c:pt>
              </c:strCache>
            </c:strRef>
          </c:cat>
          <c:val>
            <c:numRef>
              <c:f>Dashboard!$C$47:$C$54</c:f>
              <c:numCache>
                <c:formatCode>#,##0;[RED]\-#,##0;\-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60"/>
        <c:overlap val="0"/>
        <c:axId val="65014202"/>
        <c:axId val="33038437"/>
      </c:barChart>
      <c:catAx>
        <c:axId val="650142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038437"/>
        <c:crosses val="autoZero"/>
        <c:auto val="1"/>
        <c:lblAlgn val="ctr"/>
        <c:lblOffset val="100"/>
        <c:noMultiLvlLbl val="0"/>
      </c:catAx>
      <c:valAx>
        <c:axId val="330384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0142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Spending per Day vs Allowance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Dashboard!D68</c:f>
              <c:strCache>
                <c:ptCount val="1"/>
                <c:pt idx="0">
                  <c:v>Spent</c:v>
                </c:pt>
              </c:strCache>
            </c:strRef>
          </c:tx>
          <c:spPr>
            <a:solidFill>
              <a:srgbClr val="0f766e"/>
            </a:solidFill>
            <a:ln w="0">
              <a:solidFill>
                <a:srgbClr val="0f766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Dashboard!$A$69:$A$99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Dashboard!$D$69:$D$99</c:f>
              <c:numCache>
                <c:formatCode>#,##0;[RED]\-#,##0;\-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40"/>
        <c:overlap val="0"/>
        <c:axId val="91949791"/>
        <c:axId val="81110902"/>
      </c:barChart>
      <c:lineChart>
        <c:grouping val="standard"/>
        <c:varyColors val="0"/>
        <c:ser>
          <c:idx val="1"/>
          <c:order val="1"/>
          <c:tx>
            <c:strRef>
              <c:f>Dashboard!E68</c:f>
              <c:strCache>
                <c:ptCount val="1"/>
                <c:pt idx="0">
                  <c:v>Daily allowance</c:v>
                </c:pt>
              </c:strCache>
            </c:strRef>
          </c:tx>
          <c:spPr>
            <a:solidFill>
              <a:srgbClr val="c0392b"/>
            </a:solidFill>
            <a:ln w="2196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Dashboard!$A$69:$A$99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Dashboard!$E$69:$E$99</c:f>
              <c:numCache>
                <c:formatCode>#,##0;[RED]\-#,##0;\-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1949791"/>
        <c:axId val="81110902"/>
      </c:lineChart>
      <c:catAx>
        <c:axId val="919497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 of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110902"/>
        <c:crosses val="autoZero"/>
        <c:auto val="1"/>
        <c:lblAlgn val="ctr"/>
        <c:lblOffset val="100"/>
        <c:noMultiLvlLbl val="0"/>
      </c:catAx>
      <c:valAx>
        <c:axId val="811109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4979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Income vs Spending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'Year View'!C4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0f766e"/>
            </a:solidFill>
            <a:ln w="0">
              <a:solidFill>
                <a:srgbClr val="0f766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View'!$B$5:$B$16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'Year View'!$C$5:$C$16</c:f>
              <c:numCache>
                <c:formatCode>#,##0;[RED]\-#,##0;\-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'Year View'!D4</c:f>
              <c:strCache>
                <c:ptCount val="1"/>
                <c:pt idx="0">
                  <c:v>Spent</c:v>
                </c:pt>
              </c:strCache>
            </c:strRef>
          </c:tx>
          <c:spPr>
            <a:solidFill>
              <a:srgbClr val="1f2a44"/>
            </a:solidFill>
            <a:ln w="0">
              <a:solidFill>
                <a:srgbClr val="1f2a4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View'!$B$5:$B$16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'Year View'!$D$5:$D$16</c:f>
              <c:numCache>
                <c:formatCode>#,##0;[RED]\-#,##0;\-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20501405"/>
        <c:axId val="24495324"/>
      </c:barChart>
      <c:lineChart>
        <c:grouping val="standard"/>
        <c:varyColors val="0"/>
        <c:ser>
          <c:idx val="2"/>
          <c:order val="2"/>
          <c:tx>
            <c:strRef>
              <c:f>'Year View'!G4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c9a227"/>
            </a:solidFill>
            <a:ln w="28080">
              <a:solidFill>
                <a:srgbClr val="c9a22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View'!$B$5:$B$16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'Year View'!$G$5:$G$16</c:f>
              <c:numCache>
                <c:formatCode>#,##0;[RED]\-#,##0;\-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0501405"/>
        <c:axId val="24495324"/>
      </c:lineChart>
      <c:catAx>
        <c:axId val="205014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95324"/>
        <c:crosses val="autoZero"/>
        <c:auto val="1"/>
        <c:lblAlgn val="ctr"/>
        <c:lblOffset val="100"/>
        <c:noMultiLvlLbl val="0"/>
      </c:catAx>
      <c:valAx>
        <c:axId val="244953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50140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23</xdr:row>
      <xdr:rowOff>0</xdr:rowOff>
    </xdr:from>
    <xdr:to>
      <xdr:col>13</xdr:col>
      <xdr:colOff>33480</xdr:colOff>
      <xdr:row>41</xdr:row>
      <xdr:rowOff>71280</xdr:rowOff>
    </xdr:to>
    <xdr:graphicFrame>
      <xdr:nvGraphicFramePr>
        <xdr:cNvPr id="0" name="Chart 1"/>
        <xdr:cNvGraphicFramePr/>
      </xdr:nvGraphicFramePr>
      <xdr:xfrm>
        <a:off x="8705160" y="6315120"/>
        <a:ext cx="4967640" cy="367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44</xdr:row>
      <xdr:rowOff>0</xdr:rowOff>
    </xdr:from>
    <xdr:to>
      <xdr:col>12</xdr:col>
      <xdr:colOff>927360</xdr:colOff>
      <xdr:row>54</xdr:row>
      <xdr:rowOff>111960</xdr:rowOff>
    </xdr:to>
    <xdr:graphicFrame>
      <xdr:nvGraphicFramePr>
        <xdr:cNvPr id="1" name="Chart 2"/>
        <xdr:cNvGraphicFramePr/>
      </xdr:nvGraphicFramePr>
      <xdr:xfrm>
        <a:off x="9691920" y="10487160"/>
        <a:ext cx="3887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67</xdr:row>
      <xdr:rowOff>0</xdr:rowOff>
    </xdr:from>
    <xdr:to>
      <xdr:col>12</xdr:col>
      <xdr:colOff>969840</xdr:colOff>
      <xdr:row>86</xdr:row>
      <xdr:rowOff>74160</xdr:rowOff>
    </xdr:to>
    <xdr:graphicFrame>
      <xdr:nvGraphicFramePr>
        <xdr:cNvPr id="2" name="Chart 3"/>
        <xdr:cNvGraphicFramePr/>
      </xdr:nvGraphicFramePr>
      <xdr:xfrm>
        <a:off x="7718400" y="15239880"/>
        <a:ext cx="5903640" cy="37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8</xdr:col>
      <xdr:colOff>25200</xdr:colOff>
      <xdr:row>35</xdr:row>
      <xdr:rowOff>181080</xdr:rowOff>
    </xdr:to>
    <xdr:graphicFrame>
      <xdr:nvGraphicFramePr>
        <xdr:cNvPr id="3" name="Chart 1"/>
        <xdr:cNvGraphicFramePr/>
      </xdr:nvGraphicFramePr>
      <xdr:xfrm>
        <a:off x="281880" y="3828960"/>
        <a:ext cx="79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oney_Tracker_Blank.xlsx" TargetMode="External"/><Relationship Id="rId2" Type="http://schemas.openxmlformats.org/officeDocument/2006/relationships/hyperlink" Target="Money_Tracker_Blank.xlsx" TargetMode="External"/><Relationship Id="rId3" Type="http://schemas.openxmlformats.org/officeDocument/2006/relationships/hyperlink" Target="Money_Tracker_Blank.xlsx" TargetMode="External"/><Relationship Id="rId4" Type="http://schemas.openxmlformats.org/officeDocument/2006/relationships/hyperlink" Target="Money_Tracker_Blank.xlsx" TargetMode="External"/><Relationship Id="rId5" Type="http://schemas.openxmlformats.org/officeDocument/2006/relationships/hyperlink" Target="Money_Tracker_Blank.xlsx" TargetMode="External"/><Relationship Id="rId6" Type="http://schemas.openxmlformats.org/officeDocument/2006/relationships/hyperlink" Target="Money_Tracker_Blank.xlsx" TargetMode="External"/><Relationship Id="rId7" Type="http://schemas.openxmlformats.org/officeDocument/2006/relationships/hyperlink" Target="Money_Tracker_Blank.xlsx" TargetMode="External"/><Relationship Id="rId8" Type="http://schemas.openxmlformats.org/officeDocument/2006/relationships/hyperlink" Target="Money_Tracker_Blank.xlsx" TargetMode="External"/><Relationship Id="rId9" Type="http://schemas.openxmlformats.org/officeDocument/2006/relationships/hyperlink" Target="Money_Tracker_Blank.xlsx" TargetMode="External"/><Relationship Id="rId10" Type="http://schemas.openxmlformats.org/officeDocument/2006/relationships/hyperlink" Target="Money_Tracker_Blank.xlsx" TargetMode="External"/><Relationship Id="rId11" Type="http://schemas.openxmlformats.org/officeDocument/2006/relationships/hyperlink" Target="Money_Tracker_Blank.xlsx" TargetMode="External"/><Relationship Id="rId12" Type="http://schemas.openxmlformats.org/officeDocument/2006/relationships/hyperlink" Target="Money_Tracker_Blank.xlsx" TargetMode="External"/><Relationship Id="rId13" Type="http://schemas.openxmlformats.org/officeDocument/2006/relationships/hyperlink" Target="Money_Tracker_Blank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H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2.5"/>
  </cols>
  <sheetData>
    <row r="1" customFormat="false" ht="48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1"/>
    </row>
    <row r="2" customFormat="false" ht="24" hidden="false" customHeight="true" outlineLevel="0" collapsed="false">
      <c r="A2" s="1"/>
      <c r="B2" s="3" t="s">
        <v>1</v>
      </c>
      <c r="C2" s="3"/>
      <c r="D2" s="3"/>
      <c r="E2" s="3"/>
      <c r="F2" s="3"/>
      <c r="G2" s="3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21.75" hidden="false" customHeight="true" outlineLevel="0" collapsed="false">
      <c r="A4" s="1"/>
      <c r="B4" s="4" t="s">
        <v>2</v>
      </c>
      <c r="C4" s="4"/>
      <c r="D4" s="4"/>
      <c r="E4" s="4"/>
      <c r="F4" s="4"/>
      <c r="G4" s="4"/>
      <c r="H4" s="1"/>
    </row>
    <row r="5" customFormat="false" ht="36" hidden="false" customHeight="true" outlineLevel="0" collapsed="false">
      <c r="A5" s="1"/>
      <c r="B5" s="5" t="s">
        <v>3</v>
      </c>
      <c r="C5" s="6" t="s">
        <v>4</v>
      </c>
      <c r="D5" s="7" t="s">
        <v>5</v>
      </c>
      <c r="E5" s="7"/>
      <c r="F5" s="7"/>
      <c r="G5" s="7"/>
      <c r="H5" s="1"/>
    </row>
    <row r="6" customFormat="false" ht="36" hidden="false" customHeight="true" outlineLevel="0" collapsed="false">
      <c r="A6" s="1"/>
      <c r="B6" s="5" t="s">
        <v>6</v>
      </c>
      <c r="C6" s="6" t="s">
        <v>7</v>
      </c>
      <c r="D6" s="7" t="s">
        <v>8</v>
      </c>
      <c r="E6" s="7"/>
      <c r="F6" s="7"/>
      <c r="G6" s="7"/>
      <c r="H6" s="1"/>
    </row>
    <row r="7" customFormat="false" ht="36" hidden="false" customHeight="true" outlineLevel="0" collapsed="false">
      <c r="A7" s="1"/>
      <c r="B7" s="5" t="s">
        <v>9</v>
      </c>
      <c r="C7" s="6" t="s">
        <v>10</v>
      </c>
      <c r="D7" s="7" t="s">
        <v>11</v>
      </c>
      <c r="E7" s="7"/>
      <c r="F7" s="7"/>
      <c r="G7" s="7"/>
      <c r="H7" s="1"/>
    </row>
    <row r="8" customFormat="false" ht="36" hidden="false" customHeight="true" outlineLevel="0" collapsed="false">
      <c r="A8" s="1"/>
      <c r="B8" s="5" t="s">
        <v>12</v>
      </c>
      <c r="C8" s="6" t="s">
        <v>13</v>
      </c>
      <c r="D8" s="7" t="s">
        <v>14</v>
      </c>
      <c r="E8" s="7"/>
      <c r="F8" s="7"/>
      <c r="G8" s="7"/>
      <c r="H8" s="1"/>
    </row>
    <row r="9" customFormat="false" ht="36" hidden="false" customHeight="true" outlineLevel="0" collapsed="false">
      <c r="A9" s="1"/>
      <c r="B9" s="5" t="s">
        <v>15</v>
      </c>
      <c r="C9" s="6" t="s">
        <v>16</v>
      </c>
      <c r="D9" s="7" t="s">
        <v>17</v>
      </c>
      <c r="E9" s="7"/>
      <c r="F9" s="7"/>
      <c r="G9" s="7"/>
      <c r="H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</row>
    <row r="11" customFormat="false" ht="21.75" hidden="false" customHeight="true" outlineLevel="0" collapsed="false">
      <c r="A11" s="1"/>
      <c r="B11" s="4" t="s">
        <v>18</v>
      </c>
      <c r="C11" s="4"/>
      <c r="D11" s="4"/>
      <c r="E11" s="4"/>
      <c r="F11" s="4"/>
      <c r="G11" s="4"/>
      <c r="H11" s="1"/>
    </row>
    <row r="12" customFormat="false" ht="24" hidden="false" customHeight="true" outlineLevel="0" collapsed="false">
      <c r="A12" s="1"/>
      <c r="B12" s="8" t="s">
        <v>19</v>
      </c>
      <c r="C12" s="8"/>
      <c r="D12" s="8"/>
      <c r="E12" s="8"/>
      <c r="F12" s="8"/>
      <c r="G12" s="8"/>
      <c r="H12" s="1"/>
    </row>
    <row r="13" customFormat="false" ht="24" hidden="false" customHeight="true" outlineLevel="0" collapsed="false">
      <c r="A13" s="1"/>
      <c r="B13" s="8"/>
      <c r="C13" s="8"/>
      <c r="D13" s="8"/>
      <c r="E13" s="8"/>
      <c r="F13" s="8"/>
      <c r="G13" s="8"/>
      <c r="H13" s="1"/>
    </row>
    <row r="14" customFormat="false" ht="15" hidden="false" customHeight="false" outlineLevel="0" collapsed="false">
      <c r="A14" s="1"/>
      <c r="B14" s="9" t="s">
        <v>20</v>
      </c>
      <c r="C14" s="1"/>
      <c r="D14" s="1"/>
      <c r="E14" s="1"/>
      <c r="F14" s="1"/>
      <c r="G14" s="1"/>
      <c r="H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</row>
    <row r="16" customFormat="false" ht="21.75" hidden="false" customHeight="true" outlineLevel="0" collapsed="false">
      <c r="A16" s="1"/>
      <c r="B16" s="4" t="s">
        <v>21</v>
      </c>
      <c r="C16" s="4"/>
      <c r="D16" s="4"/>
      <c r="E16" s="4"/>
      <c r="F16" s="4"/>
      <c r="G16" s="4"/>
      <c r="H16" s="1"/>
    </row>
    <row r="17" customFormat="false" ht="15" hidden="false" customHeight="false" outlineLevel="0" collapsed="false">
      <c r="A17" s="1"/>
      <c r="B17" s="10"/>
      <c r="C17" s="11" t="s">
        <v>22</v>
      </c>
      <c r="D17" s="12" t="s">
        <v>23</v>
      </c>
      <c r="E17" s="12"/>
      <c r="F17" s="12"/>
      <c r="G17" s="12"/>
      <c r="H17" s="1"/>
    </row>
    <row r="18" customFormat="false" ht="15" hidden="false" customHeight="false" outlineLevel="0" collapsed="false">
      <c r="A18" s="1"/>
      <c r="B18" s="13"/>
      <c r="C18" s="14" t="s">
        <v>24</v>
      </c>
      <c r="D18" s="12" t="s">
        <v>25</v>
      </c>
      <c r="E18" s="12"/>
      <c r="F18" s="12"/>
      <c r="G18" s="12"/>
      <c r="H18" s="1"/>
    </row>
    <row r="19" customFormat="false" ht="15" hidden="false" customHeight="false" outlineLevel="0" collapsed="false">
      <c r="A19" s="1"/>
      <c r="B19" s="15" t="s">
        <v>26</v>
      </c>
      <c r="C19" s="16" t="s">
        <v>27</v>
      </c>
      <c r="D19" s="12" t="s">
        <v>28</v>
      </c>
      <c r="E19" s="12"/>
      <c r="F19" s="12"/>
      <c r="G19" s="12"/>
      <c r="H19" s="1"/>
    </row>
    <row r="20" customFormat="false" ht="15" hidden="false" customHeight="false" outlineLevel="0" collapsed="false">
      <c r="A20" s="1"/>
      <c r="B20" s="17" t="s">
        <v>29</v>
      </c>
      <c r="C20" s="18" t="s">
        <v>30</v>
      </c>
      <c r="D20" s="12" t="s">
        <v>31</v>
      </c>
      <c r="E20" s="12"/>
      <c r="F20" s="12"/>
      <c r="G20" s="12"/>
      <c r="H20" s="1"/>
    </row>
    <row r="21" customFormat="false" ht="15" hidden="false" customHeight="false" outlineLevel="0" collapsed="false">
      <c r="A21" s="1"/>
      <c r="B21" s="19" t="s">
        <v>32</v>
      </c>
      <c r="C21" s="20" t="s">
        <v>33</v>
      </c>
      <c r="D21" s="12" t="s">
        <v>34</v>
      </c>
      <c r="E21" s="12"/>
      <c r="F21" s="12"/>
      <c r="G21" s="12"/>
      <c r="H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</row>
    <row r="23" customFormat="false" ht="21.75" hidden="false" customHeight="true" outlineLevel="0" collapsed="false">
      <c r="A23" s="1"/>
      <c r="B23" s="4" t="s">
        <v>35</v>
      </c>
      <c r="C23" s="4"/>
      <c r="D23" s="4"/>
      <c r="E23" s="4"/>
      <c r="F23" s="4"/>
      <c r="G23" s="4"/>
      <c r="H23" s="1"/>
    </row>
    <row r="24" customFormat="false" ht="19.5" hidden="false" customHeight="true" outlineLevel="0" collapsed="false">
      <c r="A24" s="1"/>
      <c r="B24" s="21" t="s">
        <v>36</v>
      </c>
      <c r="C24" s="22" t="s">
        <v>37</v>
      </c>
      <c r="D24" s="22" t="s">
        <v>38</v>
      </c>
      <c r="E24" s="22" t="s">
        <v>39</v>
      </c>
      <c r="F24" s="22" t="s">
        <v>40</v>
      </c>
      <c r="G24" s="22" t="s">
        <v>41</v>
      </c>
      <c r="H24" s="1"/>
    </row>
    <row r="25" customFormat="false" ht="15" hidden="false" customHeight="false" outlineLevel="0" collapsed="false">
      <c r="A25" s="1"/>
      <c r="B25" s="23" t="s">
        <v>42</v>
      </c>
      <c r="C25" s="24" t="n">
        <v>46321</v>
      </c>
      <c r="D25" s="25" t="s">
        <v>43</v>
      </c>
      <c r="E25" s="25" t="s">
        <v>44</v>
      </c>
      <c r="F25" s="26" t="n">
        <v>1450</v>
      </c>
      <c r="G25" s="27" t="s">
        <v>45</v>
      </c>
      <c r="H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</row>
    <row r="27" customFormat="false" ht="21.75" hidden="false" customHeight="true" outlineLevel="0" collapsed="false">
      <c r="A27" s="1"/>
      <c r="B27" s="4" t="s">
        <v>46</v>
      </c>
      <c r="C27" s="4"/>
      <c r="D27" s="4"/>
      <c r="E27" s="4"/>
      <c r="F27" s="4"/>
      <c r="G27" s="4"/>
      <c r="H27" s="1"/>
    </row>
    <row r="28" customFormat="false" ht="15" hidden="false" customHeight="false" outlineLevel="0" collapsed="false">
      <c r="A28" s="1"/>
      <c r="B28" s="1"/>
      <c r="C28" s="28" t="s">
        <v>47</v>
      </c>
      <c r="D28" s="29" t="s">
        <v>48</v>
      </c>
      <c r="E28" s="29"/>
      <c r="F28" s="29"/>
      <c r="G28" s="29"/>
      <c r="H28" s="1"/>
    </row>
    <row r="29" customFormat="false" ht="15" hidden="false" customHeight="false" outlineLevel="0" collapsed="false">
      <c r="A29" s="1"/>
      <c r="B29" s="1"/>
      <c r="C29" s="28" t="s">
        <v>49</v>
      </c>
      <c r="D29" s="29" t="s">
        <v>50</v>
      </c>
      <c r="E29" s="29"/>
      <c r="F29" s="29"/>
      <c r="G29" s="29"/>
      <c r="H29" s="1"/>
    </row>
    <row r="30" customFormat="false" ht="15" hidden="false" customHeight="false" outlineLevel="0" collapsed="false">
      <c r="A30" s="1"/>
      <c r="B30" s="1"/>
      <c r="C30" s="28" t="s">
        <v>51</v>
      </c>
      <c r="D30" s="29" t="s">
        <v>52</v>
      </c>
      <c r="E30" s="29"/>
      <c r="F30" s="29"/>
      <c r="G30" s="29"/>
      <c r="H30" s="1"/>
    </row>
    <row r="31" customFormat="false" ht="15" hidden="false" customHeight="false" outlineLevel="0" collapsed="false">
      <c r="A31" s="1"/>
      <c r="B31" s="1"/>
      <c r="C31" s="28" t="s">
        <v>53</v>
      </c>
      <c r="D31" s="29" t="s">
        <v>54</v>
      </c>
      <c r="E31" s="29"/>
      <c r="F31" s="29"/>
      <c r="G31" s="29"/>
      <c r="H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</row>
    <row r="33" customFormat="false" ht="21.75" hidden="false" customHeight="true" outlineLevel="0" collapsed="false">
      <c r="A33" s="1"/>
      <c r="B33" s="4" t="s">
        <v>55</v>
      </c>
      <c r="C33" s="4"/>
      <c r="D33" s="4"/>
      <c r="E33" s="4"/>
      <c r="F33" s="4"/>
      <c r="G33" s="4"/>
      <c r="H33" s="1"/>
    </row>
    <row r="34" customFormat="false" ht="31.5" hidden="false" customHeight="true" outlineLevel="0" collapsed="false">
      <c r="A34" s="1"/>
      <c r="B34" s="30" t="s">
        <v>56</v>
      </c>
      <c r="C34" s="8" t="s">
        <v>57</v>
      </c>
      <c r="D34" s="8"/>
      <c r="E34" s="8"/>
      <c r="F34" s="8"/>
      <c r="G34" s="8"/>
      <c r="H34" s="1"/>
    </row>
    <row r="35" customFormat="false" ht="31.5" hidden="false" customHeight="true" outlineLevel="0" collapsed="false">
      <c r="A35" s="1"/>
      <c r="B35" s="30" t="s">
        <v>56</v>
      </c>
      <c r="C35" s="8" t="s">
        <v>58</v>
      </c>
      <c r="D35" s="8"/>
      <c r="E35" s="8"/>
      <c r="F35" s="8"/>
      <c r="G35" s="8"/>
      <c r="H35" s="1"/>
    </row>
    <row r="36" customFormat="false" ht="31.5" hidden="false" customHeight="true" outlineLevel="0" collapsed="false">
      <c r="A36" s="1"/>
      <c r="B36" s="30" t="s">
        <v>56</v>
      </c>
      <c r="C36" s="8" t="s">
        <v>59</v>
      </c>
      <c r="D36" s="8"/>
      <c r="E36" s="8"/>
      <c r="F36" s="8"/>
      <c r="G36" s="8"/>
      <c r="H36" s="1"/>
    </row>
    <row r="37" customFormat="false" ht="31.5" hidden="false" customHeight="true" outlineLevel="0" collapsed="false">
      <c r="A37" s="1"/>
      <c r="B37" s="30" t="s">
        <v>56</v>
      </c>
      <c r="C37" s="8" t="s">
        <v>60</v>
      </c>
      <c r="D37" s="8"/>
      <c r="E37" s="8"/>
      <c r="F37" s="8"/>
      <c r="G37" s="8"/>
      <c r="H37" s="1"/>
    </row>
    <row r="38" customFormat="false" ht="31.5" hidden="false" customHeight="true" outlineLevel="0" collapsed="false">
      <c r="A38" s="1"/>
      <c r="B38" s="30" t="s">
        <v>56</v>
      </c>
      <c r="C38" s="8" t="s">
        <v>61</v>
      </c>
      <c r="D38" s="8"/>
      <c r="E38" s="8"/>
      <c r="F38" s="8"/>
      <c r="G38" s="8"/>
      <c r="H38" s="1"/>
    </row>
    <row r="39" customFormat="false" ht="31.5" hidden="false" customHeight="true" outlineLevel="0" collapsed="false">
      <c r="A39" s="1"/>
      <c r="B39" s="30" t="s">
        <v>56</v>
      </c>
      <c r="C39" s="8" t="s">
        <v>62</v>
      </c>
      <c r="D39" s="8"/>
      <c r="E39" s="8"/>
      <c r="F39" s="8"/>
      <c r="G39" s="8"/>
      <c r="H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</row>
    <row r="41" customFormat="false" ht="21.75" hidden="false" customHeight="true" outlineLevel="0" collapsed="false">
      <c r="A41" s="1"/>
      <c r="B41" s="4" t="s">
        <v>63</v>
      </c>
      <c r="C41" s="4"/>
      <c r="D41" s="4"/>
      <c r="E41" s="4"/>
      <c r="F41" s="4"/>
      <c r="G41" s="4"/>
      <c r="H41" s="1"/>
    </row>
    <row r="42" customFormat="false" ht="15" hidden="false" customHeight="false" outlineLevel="0" collapsed="false">
      <c r="A42" s="1"/>
      <c r="B42" s="1"/>
      <c r="C42" s="31" t="s">
        <v>16</v>
      </c>
      <c r="D42" s="29" t="s">
        <v>64</v>
      </c>
      <c r="E42" s="29"/>
      <c r="F42" s="29"/>
      <c r="G42" s="29"/>
      <c r="H42" s="1"/>
    </row>
    <row r="43" customFormat="false" ht="15" hidden="false" customHeight="false" outlineLevel="0" collapsed="false">
      <c r="A43" s="1"/>
      <c r="B43" s="1"/>
      <c r="C43" s="31" t="s">
        <v>13</v>
      </c>
      <c r="D43" s="29" t="s">
        <v>65</v>
      </c>
      <c r="E43" s="29"/>
      <c r="F43" s="29"/>
      <c r="G43" s="29"/>
      <c r="H43" s="1"/>
    </row>
    <row r="44" customFormat="false" ht="15" hidden="false" customHeight="false" outlineLevel="0" collapsed="false">
      <c r="A44" s="1"/>
      <c r="B44" s="1"/>
      <c r="C44" s="31" t="s">
        <v>10</v>
      </c>
      <c r="D44" s="29" t="s">
        <v>66</v>
      </c>
      <c r="E44" s="29"/>
      <c r="F44" s="29"/>
      <c r="G44" s="29"/>
      <c r="H44" s="1"/>
    </row>
    <row r="45" customFormat="false" ht="15" hidden="false" customHeight="false" outlineLevel="0" collapsed="false">
      <c r="A45" s="1"/>
      <c r="B45" s="1"/>
      <c r="C45" s="31" t="s">
        <v>7</v>
      </c>
      <c r="D45" s="29" t="s">
        <v>67</v>
      </c>
      <c r="E45" s="29"/>
      <c r="F45" s="29"/>
      <c r="G45" s="29"/>
      <c r="H45" s="1"/>
    </row>
    <row r="46" customFormat="false" ht="15" hidden="false" customHeight="false" outlineLevel="0" collapsed="false">
      <c r="A46" s="1"/>
      <c r="B46" s="1"/>
      <c r="C46" s="31" t="s">
        <v>68</v>
      </c>
      <c r="D46" s="29" t="s">
        <v>69</v>
      </c>
      <c r="E46" s="29"/>
      <c r="F46" s="29"/>
      <c r="G46" s="29"/>
      <c r="H46" s="1"/>
    </row>
    <row r="47" customFormat="false" ht="15" hidden="false" customHeight="false" outlineLevel="0" collapsed="false">
      <c r="A47" s="1"/>
      <c r="B47" s="1"/>
      <c r="C47" s="31" t="s">
        <v>70</v>
      </c>
      <c r="D47" s="29" t="s">
        <v>71</v>
      </c>
      <c r="E47" s="29"/>
      <c r="F47" s="29"/>
      <c r="G47" s="29"/>
      <c r="H47" s="1"/>
    </row>
    <row r="48" customFormat="false" ht="15" hidden="false" customHeight="false" outlineLevel="0" collapsed="false">
      <c r="A48" s="1"/>
      <c r="B48" s="1"/>
      <c r="C48" s="31" t="s">
        <v>4</v>
      </c>
      <c r="D48" s="29" t="s">
        <v>72</v>
      </c>
      <c r="E48" s="29"/>
      <c r="F48" s="29"/>
      <c r="G48" s="29"/>
      <c r="H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</row>
  </sheetData>
  <mergeCells count="37">
    <mergeCell ref="B1:G1"/>
    <mergeCell ref="B2:G2"/>
    <mergeCell ref="B4:G4"/>
    <mergeCell ref="D5:G5"/>
    <mergeCell ref="D6:G6"/>
    <mergeCell ref="D7:G7"/>
    <mergeCell ref="D8:G8"/>
    <mergeCell ref="D9:G9"/>
    <mergeCell ref="B11:G11"/>
    <mergeCell ref="B12:G13"/>
    <mergeCell ref="B16:G16"/>
    <mergeCell ref="D17:G17"/>
    <mergeCell ref="D18:G18"/>
    <mergeCell ref="D19:G19"/>
    <mergeCell ref="D20:G20"/>
    <mergeCell ref="D21:G21"/>
    <mergeCell ref="B23:G23"/>
    <mergeCell ref="B27:G27"/>
    <mergeCell ref="D28:G28"/>
    <mergeCell ref="D29:G29"/>
    <mergeCell ref="D30:G30"/>
    <mergeCell ref="D31:G31"/>
    <mergeCell ref="B33:G33"/>
    <mergeCell ref="C34:G34"/>
    <mergeCell ref="C35:G35"/>
    <mergeCell ref="C36:G36"/>
    <mergeCell ref="C37:G37"/>
    <mergeCell ref="C38:G38"/>
    <mergeCell ref="C39:G39"/>
    <mergeCell ref="B41:G41"/>
    <mergeCell ref="D42:G42"/>
    <mergeCell ref="D43:G43"/>
    <mergeCell ref="D44:G44"/>
    <mergeCell ref="D45:G45"/>
    <mergeCell ref="D46:G46"/>
    <mergeCell ref="D47:G47"/>
    <mergeCell ref="D48:G48"/>
  </mergeCells>
  <hyperlinks>
    <hyperlink ref="C5" r:id="rId1" location="'Settings'!A1" display="Settings"/>
    <hyperlink ref="C6" r:id="rId2" location="'Budget'!A1" display="Budget"/>
    <hyperlink ref="C7" r:id="rId3" location="'Income'!A1" display="Income"/>
    <hyperlink ref="C8" r:id="rId4" location="'Transactions'!A1" display="Transactions"/>
    <hyperlink ref="C9" r:id="rId5" location="'Dashboard'!A1" display="Dashboard"/>
    <hyperlink ref="B14" r:id="rId6" location="'Search'!A1" display="Open the Search sheet"/>
    <hyperlink ref="C42" r:id="rId7" location="'Dashboard'!A1" display="Dashboard"/>
    <hyperlink ref="C43" r:id="rId8" location="'Transactions'!A1" display="Transactions"/>
    <hyperlink ref="C44" r:id="rId9" location="'Income'!A1" display="Income"/>
    <hyperlink ref="C45" r:id="rId10" location="'Budget'!A1" display="Budget"/>
    <hyperlink ref="C46" r:id="rId11" location="'Search'!A1" display="Search"/>
    <hyperlink ref="C47" r:id="rId12" location="'Year%20View'!A1" display="Year View"/>
    <hyperlink ref="C48" r:id="rId13" location="'Settings'!A1" display="Setting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7"/>
    <col collapsed="false" customWidth="true" hidden="false" outlineLevel="0" max="13" min="3" style="0" width="14"/>
    <col collapsed="false" customWidth="true" hidden="false" outlineLevel="0" max="14" min="14" style="0" width="2.5"/>
  </cols>
  <sheetData>
    <row r="1" customFormat="false" ht="39.75" hidden="false" customHeight="true" outlineLevel="0" collapsed="false">
      <c r="A1" s="1"/>
      <c r="B1" s="32" t="s">
        <v>73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1"/>
    </row>
    <row r="2" customFormat="false" ht="21.75" hidden="false" customHeight="true" outlineLevel="0" collapsed="false">
      <c r="A2" s="1"/>
      <c r="B2" s="3" t="str">
        <f aca="false">"Analysis for "&amp;TEXT(PeriodStart,"mmmm yyyy")&amp;"   |   All amounts in Kenya Shillings (KES)"</f>
        <v>Analysis for October 2026   |   All amounts in Kenya Shillings (KES)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1"/>
    </row>
    <row r="3" customFormat="false" ht="15" hidden="false" customHeight="false" outlineLevel="0" collapsed="false">
      <c r="A3" s="1"/>
      <c r="B3" s="33" t="s">
        <v>74</v>
      </c>
      <c r="C3" s="34" t="s">
        <v>75</v>
      </c>
      <c r="D3" s="34" t="s">
        <v>76</v>
      </c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25.5" hidden="false" customHeight="true" outlineLevel="0" collapsed="false">
      <c r="A4" s="1"/>
      <c r="B4" s="35" t="s">
        <v>77</v>
      </c>
      <c r="C4" s="36" t="n">
        <v>2026</v>
      </c>
      <c r="D4" s="37" t="s">
        <v>78</v>
      </c>
      <c r="E4" s="1"/>
      <c r="F4" s="38" t="str">
        <f aca="true">IF(IsCurrent=1,"Current month: day "&amp;DaysElapsed&amp;" of "&amp;DaysInMonth&amp;" ("&amp;DaysLeft&amp;" days to go)",IF(PeriodEnd&lt;TODAY(),"Past month - full results","Future month - nothing to analyse yet"))</f>
        <v>Current month: day 27 of 31 (4 days to go)</v>
      </c>
      <c r="G4" s="38"/>
      <c r="H4" s="38"/>
      <c r="I4" s="38"/>
      <c r="J4" s="38"/>
      <c r="K4" s="38"/>
      <c r="L4" s="38"/>
      <c r="M4" s="38"/>
      <c r="N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customFormat="false" ht="21.75" hidden="false" customHeight="true" outlineLevel="0" collapsed="false">
      <c r="A6" s="1"/>
      <c r="B6" s="39" t="s">
        <v>79</v>
      </c>
      <c r="C6" s="39"/>
      <c r="D6" s="40" t="s">
        <v>80</v>
      </c>
      <c r="E6" s="40"/>
      <c r="F6" s="41" t="s">
        <v>81</v>
      </c>
      <c r="G6" s="41"/>
      <c r="H6" s="39" t="s">
        <v>82</v>
      </c>
      <c r="I6" s="39"/>
      <c r="J6" s="40" t="s">
        <v>83</v>
      </c>
      <c r="K6" s="40"/>
      <c r="L6" s="41" t="s">
        <v>84</v>
      </c>
      <c r="M6" s="41"/>
      <c r="N6" s="1"/>
    </row>
    <row r="7" customFormat="false" ht="37.5" hidden="false" customHeight="true" outlineLevel="0" collapsed="false">
      <c r="A7" s="1"/>
      <c r="B7" s="42" t="n">
        <f aca="false">SUMIFS(Income!$D$5:$D$2004,Income!$A$5:$A$2004,"&gt;="&amp;PeriodStart,Income!$A$5:$A$2004,"&lt;="&amp;PeriodEnd)</f>
        <v>0</v>
      </c>
      <c r="C7" s="42"/>
      <c r="D7" s="42" t="n">
        <f aca="false">SUMIFS(Transactions!$E$5:$E$5004,Transactions!$A$5:$A$5004,"&gt;="&amp;PeriodStart,Transactions!$A$5:$A$5004,"&lt;="&amp;PeriodEnd)</f>
        <v>0</v>
      </c>
      <c r="E7" s="42"/>
      <c r="F7" s="42" t="n">
        <f aca="false">B7-D7</f>
        <v>0</v>
      </c>
      <c r="G7" s="42"/>
      <c r="H7" s="43" t="n">
        <f aca="false">IF(B7=0,0,F7/B7)</f>
        <v>0</v>
      </c>
      <c r="I7" s="43"/>
      <c r="J7" s="44" t="n">
        <f aca="false">IF(C13=0,0,D7/C13)</f>
        <v>0</v>
      </c>
      <c r="K7" s="44"/>
      <c r="L7" s="45" t="str">
        <f aca="false">IF(C13=0,"NO BUDGET",IF(D7&gt;C13,"OVERSPENDING",IF(J7&gt;=WarnPct,"WATCH OUT","ON TRACK")))</f>
        <v>NO BUDGET</v>
      </c>
      <c r="M7" s="45"/>
      <c r="N7" s="1"/>
    </row>
    <row r="8" customFormat="false" ht="21.75" hidden="false" customHeight="true" outlineLevel="0" collapsed="false">
      <c r="A8" s="1"/>
      <c r="B8" s="46" t="str">
        <f aca="false">COUNTIFS(Income!$A$5:$A$2004,"&gt;="&amp;PeriodStart,Income!$A$5:$A$2004,"&lt;="&amp;PeriodEnd)&amp;" income entries"</f>
        <v>0 income entries</v>
      </c>
      <c r="C8" s="46"/>
      <c r="D8" s="46" t="str">
        <f aca="false">COUNTIFS(Transactions!$A$5:$A$5004,"&gt;="&amp;PeriodStart,Transactions!$A$5:$A$5004,"&lt;="&amp;PeriodEnd)&amp;" transactions"</f>
        <v>0 transactions</v>
      </c>
      <c r="E8" s="46"/>
      <c r="F8" s="46" t="str">
        <f aca="false">IF(F7&gt;=0,"Income minus spending","Spending is above income")</f>
        <v>Income minus spending</v>
      </c>
      <c r="G8" s="46"/>
      <c r="H8" s="46" t="str">
        <f aca="false">IF(B7=0,"No income recorded",IF(H7&gt;=0.2,"Healthy saving habit",IF(H7&gt;=0,"Room to improve","Spending exceeds income")))</f>
        <v>No income recorded</v>
      </c>
      <c r="I8" s="46"/>
      <c r="J8" s="46" t="str">
        <f aca="false">"of KES "&amp;TEXT(C13,"#,##0")&amp;" budget"</f>
        <v>of KES 0 budget</v>
      </c>
      <c r="K8" s="46"/>
      <c r="L8" s="46" t="str">
        <f aca="false">IF(C13=0,"Add budgets to track",IF(D7&gt;C13,"Over by KES "&amp;TEXT(D7-C13,"#,##0"),"KES "&amp;TEXT(C13-D7,"#,##0")&amp;" left"))</f>
        <v>Add budgets to track</v>
      </c>
      <c r="M8" s="46"/>
      <c r="N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customFormat="false" ht="37.5" hidden="false" customHeight="true" outlineLevel="0" collapsed="false">
      <c r="A10" s="1"/>
      <c r="B10" s="47" t="str">
        <f aca="false">IF(C13=0,"No budget set yet - add your budgets on the Budget sheet to switch on overspending alerts.",IF(C14&gt;C13,"OVERSPENDING: you have spent KES "&amp;TEXT(C14-C13,"#,##0")&amp;" more than your total budget for this period."&amp;IF(C22&gt;0," Watch out: "&amp;C22&amp;IF(C22=1," category is"," categories are")&amp;" over its own budget.",""),IF(AND(IsCurrent=1,C16&gt;0,C17&gt;0.1*C16),"HEADS UP: you are spending faster than planned. At this pace you will finish near KES "&amp;TEXT(C18,"#,##0")&amp;" against a budget of KES "&amp;TEXT(C13,"#,##0")&amp;"."&amp;IF(C22&gt;0," Watch out: "&amp;C22&amp;IF(C22=1," category is"," categories are")&amp;" over its own budget.",""),"ON TRACK: you are within budget."&amp;IF(IsCurrent=1," You can spend about KES "&amp;TEXT(C20,"#,##0")&amp;" per day for the rest of the month.","")&amp;IF(C22&gt;0," Watch out: "&amp;C22&amp;IF(C22=1," category is"," categories are")&amp;" over its own budget.",""))))</f>
        <v>No budget set yet - add your budgets on the Budget sheet to switch on overspending alerts.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customFormat="false" ht="21.75" hidden="false" customHeight="true" outlineLevel="0" collapsed="false">
      <c r="A12" s="1"/>
      <c r="B12" s="4" t="s">
        <v>85</v>
      </c>
      <c r="C12" s="4"/>
      <c r="D12" s="1"/>
      <c r="E12" s="4" t="s">
        <v>86</v>
      </c>
      <c r="F12" s="4"/>
      <c r="G12" s="4"/>
      <c r="H12" s="4"/>
      <c r="I12" s="4"/>
      <c r="J12" s="1"/>
      <c r="K12" s="1"/>
      <c r="L12" s="1"/>
      <c r="M12" s="1"/>
      <c r="N12" s="1"/>
    </row>
    <row r="13" customFormat="false" ht="19.5" hidden="false" customHeight="true" outlineLevel="0" collapsed="false">
      <c r="A13" s="1"/>
      <c r="B13" s="48" t="s">
        <v>87</v>
      </c>
      <c r="C13" s="49" t="n">
        <f aca="false">C42</f>
        <v>0</v>
      </c>
      <c r="D13" s="1"/>
      <c r="E13" s="22" t="s">
        <v>88</v>
      </c>
      <c r="F13" s="22" t="s">
        <v>89</v>
      </c>
      <c r="G13" s="22" t="s">
        <v>90</v>
      </c>
      <c r="H13" s="22" t="s">
        <v>7</v>
      </c>
      <c r="I13" s="22" t="s">
        <v>91</v>
      </c>
      <c r="J13" s="1"/>
      <c r="K13" s="1"/>
      <c r="L13" s="1"/>
      <c r="M13" s="1"/>
      <c r="N13" s="1"/>
    </row>
    <row r="14" customFormat="false" ht="19.5" hidden="false" customHeight="true" outlineLevel="0" collapsed="false">
      <c r="A14" s="1"/>
      <c r="B14" s="48" t="s">
        <v>92</v>
      </c>
      <c r="C14" s="49" t="n">
        <f aca="false">D7</f>
        <v>0</v>
      </c>
      <c r="D14" s="1"/>
      <c r="E14" s="50" t="s">
        <v>93</v>
      </c>
      <c r="F14" s="51" t="str">
        <f aca="false">IF((PeriodStart+7*0)&gt;PeriodEnd,"",TEXT((PeriodStart+7*0),"d mmm")&amp;" - "&amp;TEXT(MIN(PeriodEnd,PeriodStart+7*1-1),"d mmm"))</f>
        <v>1 Oct - 7 Oct</v>
      </c>
      <c r="G14" s="52" t="n">
        <f aca="false">IF($F14="","",SUMIFS(Transactions!$E$5:$E$5004,Transactions!$A$5:$A$5004,"&gt;="&amp;(PeriodStart+7*0),Transactions!$A$5:$A$5004,"&lt;="&amp;MIN(PeriodEnd,PeriodStart+7*1-1)))</f>
        <v>0</v>
      </c>
      <c r="H14" s="52" t="n">
        <f aca="false">IF($F14="","",$C$13*(MIN(PeriodEnd,PeriodStart+7*1-1)-(PeriodStart+7*0)+1)/DaysInMonth)</f>
        <v>0</v>
      </c>
      <c r="I14" s="50" t="str">
        <f aca="true">IF($F14="","",IF((PeriodStart+7*0)&gt;TODAY(),"Upcoming",IF(H14=0,IF(G14&gt;0,"No budget","-"),IF(G14&gt;H14,"OVER",IF(G14&gt;=WarnPct*H14,"Watch","OK")))))</f>
        <v>-</v>
      </c>
      <c r="J14" s="1"/>
      <c r="K14" s="1"/>
      <c r="L14" s="1"/>
      <c r="M14" s="1"/>
      <c r="N14" s="1"/>
    </row>
    <row r="15" customFormat="false" ht="19.5" hidden="false" customHeight="true" outlineLevel="0" collapsed="false">
      <c r="A15" s="1"/>
      <c r="B15" s="48" t="s">
        <v>94</v>
      </c>
      <c r="C15" s="49" t="n">
        <f aca="false">C13-C14</f>
        <v>0</v>
      </c>
      <c r="D15" s="1"/>
      <c r="E15" s="50" t="s">
        <v>95</v>
      </c>
      <c r="F15" s="51" t="str">
        <f aca="false">IF((PeriodStart+7*1)&gt;PeriodEnd,"",TEXT((PeriodStart+7*1),"d mmm")&amp;" - "&amp;TEXT(MIN(PeriodEnd,PeriodStart+7*2-1),"d mmm"))</f>
        <v>8 Oct - 14 Oct</v>
      </c>
      <c r="G15" s="52" t="n">
        <f aca="false">IF($F15="","",SUMIFS(Transactions!$E$5:$E$5004,Transactions!$A$5:$A$5004,"&gt;="&amp;(PeriodStart+7*1),Transactions!$A$5:$A$5004,"&lt;="&amp;MIN(PeriodEnd,PeriodStart+7*2-1)))</f>
        <v>0</v>
      </c>
      <c r="H15" s="52" t="n">
        <f aca="false">IF($F15="","",$C$13*(MIN(PeriodEnd,PeriodStart+7*2-1)-(PeriodStart+7*1)+1)/DaysInMonth)</f>
        <v>0</v>
      </c>
      <c r="I15" s="50" t="str">
        <f aca="true">IF($F15="","",IF((PeriodStart+7*1)&gt;TODAY(),"Upcoming",IF(H15=0,IF(G15&gt;0,"No budget","-"),IF(G15&gt;H15,"OVER",IF(G15&gt;=WarnPct*H15,"Watch","OK")))))</f>
        <v>-</v>
      </c>
      <c r="J15" s="1"/>
      <c r="K15" s="1"/>
      <c r="L15" s="1"/>
      <c r="M15" s="1"/>
      <c r="N15" s="1"/>
    </row>
    <row r="16" customFormat="false" ht="19.5" hidden="false" customHeight="true" outlineLevel="0" collapsed="false">
      <c r="A16" s="1"/>
      <c r="B16" s="48" t="s">
        <v>96</v>
      </c>
      <c r="C16" s="49" t="n">
        <f aca="true">IF(IsCurrent=1,C13*DaysElapsed/DaysInMonth,IF(PeriodEnd&lt;TODAY(),C13,0))</f>
        <v>0</v>
      </c>
      <c r="D16" s="1"/>
      <c r="E16" s="50" t="s">
        <v>97</v>
      </c>
      <c r="F16" s="51" t="str">
        <f aca="false">IF((PeriodStart+7*2)&gt;PeriodEnd,"",TEXT((PeriodStart+7*2),"d mmm")&amp;" - "&amp;TEXT(MIN(PeriodEnd,PeriodStart+7*3-1),"d mmm"))</f>
        <v>15 Oct - 21 Oct</v>
      </c>
      <c r="G16" s="52" t="n">
        <f aca="false">IF($F16="","",SUMIFS(Transactions!$E$5:$E$5004,Transactions!$A$5:$A$5004,"&gt;="&amp;(PeriodStart+7*2),Transactions!$A$5:$A$5004,"&lt;="&amp;MIN(PeriodEnd,PeriodStart+7*3-1)))</f>
        <v>0</v>
      </c>
      <c r="H16" s="52" t="n">
        <f aca="false">IF($F16="","",$C$13*(MIN(PeriodEnd,PeriodStart+7*3-1)-(PeriodStart+7*2)+1)/DaysInMonth)</f>
        <v>0</v>
      </c>
      <c r="I16" s="50" t="str">
        <f aca="true">IF($F16="","",IF((PeriodStart+7*2)&gt;TODAY(),"Upcoming",IF(H16=0,IF(G16&gt;0,"No budget","-"),IF(G16&gt;H16,"OVER",IF(G16&gt;=WarnPct*H16,"Watch","OK")))))</f>
        <v>-</v>
      </c>
      <c r="J16" s="1"/>
      <c r="K16" s="1"/>
      <c r="L16" s="1"/>
      <c r="M16" s="1"/>
      <c r="N16" s="1"/>
    </row>
    <row r="17" customFormat="false" ht="19.5" hidden="false" customHeight="true" outlineLevel="0" collapsed="false">
      <c r="A17" s="1"/>
      <c r="B17" s="48" t="s">
        <v>98</v>
      </c>
      <c r="C17" s="53" t="n">
        <f aca="false">IF(C13=0,0,C14-C16)</f>
        <v>0</v>
      </c>
      <c r="D17" s="1"/>
      <c r="E17" s="50" t="s">
        <v>99</v>
      </c>
      <c r="F17" s="51" t="str">
        <f aca="false">IF((PeriodStart+7*3)&gt;PeriodEnd,"",TEXT((PeriodStart+7*3),"d mmm")&amp;" - "&amp;TEXT(MIN(PeriodEnd,PeriodStart+7*4-1),"d mmm"))</f>
        <v>22 Oct - 28 Oct</v>
      </c>
      <c r="G17" s="52" t="n">
        <f aca="false">IF($F17="","",SUMIFS(Transactions!$E$5:$E$5004,Transactions!$A$5:$A$5004,"&gt;="&amp;(PeriodStart+7*3),Transactions!$A$5:$A$5004,"&lt;="&amp;MIN(PeriodEnd,PeriodStart+7*4-1)))</f>
        <v>0</v>
      </c>
      <c r="H17" s="52" t="n">
        <f aca="false">IF($F17="","",$C$13*(MIN(PeriodEnd,PeriodStart+7*4-1)-(PeriodStart+7*3)+1)/DaysInMonth)</f>
        <v>0</v>
      </c>
      <c r="I17" s="50" t="str">
        <f aca="true">IF($F17="","",IF((PeriodStart+7*3)&gt;TODAY(),"Upcoming",IF(H17=0,IF(G17&gt;0,"No budget","-"),IF(G17&gt;H17,"OVER",IF(G17&gt;=WarnPct*H17,"Watch","OK")))))</f>
        <v>-</v>
      </c>
      <c r="J17" s="1"/>
      <c r="K17" s="1"/>
      <c r="L17" s="1"/>
      <c r="M17" s="1"/>
      <c r="N17" s="1"/>
    </row>
    <row r="18" customFormat="false" ht="19.5" hidden="false" customHeight="true" outlineLevel="0" collapsed="false">
      <c r="A18" s="1"/>
      <c r="B18" s="48" t="s">
        <v>100</v>
      </c>
      <c r="C18" s="49" t="n">
        <f aca="false">IF(IsCurrent=1,IF(DaysElapsed=0,0,C14/DaysElapsed*DaysInMonth),C14)</f>
        <v>0</v>
      </c>
      <c r="D18" s="1"/>
      <c r="E18" s="50" t="s">
        <v>101</v>
      </c>
      <c r="F18" s="51" t="str">
        <f aca="false">IF((PeriodStart+7*4)&gt;PeriodEnd,"",TEXT((PeriodStart+7*4),"d mmm")&amp;" - "&amp;TEXT(MIN(PeriodEnd,PeriodStart+7*5-1),"d mmm"))</f>
        <v>29 Oct - 31 Oct</v>
      </c>
      <c r="G18" s="52" t="n">
        <f aca="false">IF($F18="","",SUMIFS(Transactions!$E$5:$E$5004,Transactions!$A$5:$A$5004,"&gt;="&amp;(PeriodStart+7*4),Transactions!$A$5:$A$5004,"&lt;="&amp;MIN(PeriodEnd,PeriodStart+7*5-1)))</f>
        <v>0</v>
      </c>
      <c r="H18" s="52" t="n">
        <f aca="false">IF($F18="","",$C$13*(MIN(PeriodEnd,PeriodStart+7*5-1)-(PeriodStart+7*4)+1)/DaysInMonth)</f>
        <v>0</v>
      </c>
      <c r="I18" s="50" t="str">
        <f aca="true">IF($F18="","",IF((PeriodStart+7*4)&gt;TODAY(),"Upcoming",IF(H18=0,IF(G18&gt;0,"No budget","-"),IF(G18&gt;H18,"OVER",IF(G18&gt;=WarnPct*H18,"Watch","OK")))))</f>
        <v>Upcoming</v>
      </c>
      <c r="J18" s="1"/>
      <c r="K18" s="1"/>
      <c r="L18" s="1"/>
      <c r="M18" s="1"/>
      <c r="N18" s="1"/>
    </row>
    <row r="19" customFormat="false" ht="19.5" hidden="false" customHeight="true" outlineLevel="0" collapsed="false">
      <c r="A19" s="1"/>
      <c r="B19" s="48" t="s">
        <v>102</v>
      </c>
      <c r="C19" s="53" t="n">
        <f aca="false">IF(C13=0,0,C18-C13)</f>
        <v>0</v>
      </c>
      <c r="D19" s="1"/>
      <c r="E19" s="54" t="s">
        <v>103</v>
      </c>
      <c r="F19" s="55"/>
      <c r="G19" s="56" t="n">
        <f aca="false">SUM(G14:G18)</f>
        <v>0</v>
      </c>
      <c r="H19" s="56" t="n">
        <f aca="false">SUM(H14:H18)</f>
        <v>0</v>
      </c>
      <c r="I19" s="55"/>
      <c r="J19" s="1"/>
      <c r="K19" s="1"/>
      <c r="L19" s="1"/>
      <c r="M19" s="1"/>
      <c r="N19" s="1"/>
    </row>
    <row r="20" customFormat="false" ht="19.5" hidden="false" customHeight="true" outlineLevel="0" collapsed="false">
      <c r="A20" s="1"/>
      <c r="B20" s="48" t="s">
        <v>104</v>
      </c>
      <c r="C20" s="49" t="n">
        <f aca="false">IF(AND(IsCurrent=1,DaysLeft&gt;0),MAX(C15,0)/DaysLeft,0)</f>
        <v>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customFormat="false" ht="19.5" hidden="false" customHeight="true" outlineLevel="0" collapsed="false">
      <c r="A21" s="1"/>
      <c r="B21" s="48" t="s">
        <v>105</v>
      </c>
      <c r="C21" s="49" t="n">
        <f aca="false">IF(DaysElapsed=0,0,C14/DaysElapsed)</f>
        <v>0</v>
      </c>
      <c r="D21" s="1"/>
      <c r="E21" s="57" t="s">
        <v>106</v>
      </c>
      <c r="F21" s="57"/>
      <c r="G21" s="57"/>
      <c r="H21" s="57"/>
      <c r="I21" s="57"/>
      <c r="J21" s="1"/>
      <c r="K21" s="1"/>
      <c r="L21" s="1"/>
      <c r="M21" s="1"/>
      <c r="N21" s="1"/>
    </row>
    <row r="22" customFormat="false" ht="19.5" hidden="false" customHeight="true" outlineLevel="0" collapsed="false">
      <c r="A22" s="1"/>
      <c r="B22" s="48" t="s">
        <v>107</v>
      </c>
      <c r="C22" s="58" t="n">
        <f aca="false">COUNTIF(G26:G41,"OVER")</f>
        <v>0</v>
      </c>
      <c r="D22" s="1"/>
      <c r="E22" s="57"/>
      <c r="F22" s="57"/>
      <c r="G22" s="57"/>
      <c r="H22" s="57"/>
      <c r="I22" s="57"/>
      <c r="J22" s="1"/>
      <c r="K22" s="1"/>
      <c r="L22" s="1"/>
      <c r="M22" s="1"/>
      <c r="N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customFormat="false" ht="21.75" hidden="false" customHeight="true" outlineLevel="0" collapsed="false">
      <c r="A24" s="1"/>
      <c r="B24" s="4" t="s">
        <v>108</v>
      </c>
      <c r="C24" s="4"/>
      <c r="D24" s="4"/>
      <c r="E24" s="4"/>
      <c r="F24" s="4"/>
      <c r="G24" s="4"/>
      <c r="H24" s="1"/>
      <c r="I24" s="1"/>
      <c r="J24" s="1"/>
      <c r="K24" s="1"/>
      <c r="L24" s="1"/>
      <c r="M24" s="1"/>
      <c r="N24" s="1"/>
    </row>
    <row r="25" customFormat="false" ht="21.75" hidden="false" customHeight="true" outlineLevel="0" collapsed="false">
      <c r="A25" s="1"/>
      <c r="B25" s="22" t="s">
        <v>39</v>
      </c>
      <c r="C25" s="22" t="s">
        <v>7</v>
      </c>
      <c r="D25" s="22" t="s">
        <v>90</v>
      </c>
      <c r="E25" s="22" t="s">
        <v>109</v>
      </c>
      <c r="F25" s="22" t="s">
        <v>110</v>
      </c>
      <c r="G25" s="22" t="s">
        <v>91</v>
      </c>
      <c r="H25" s="1"/>
      <c r="I25" s="1"/>
      <c r="J25" s="1"/>
      <c r="K25" s="1"/>
      <c r="L25" s="1"/>
      <c r="M25" s="1"/>
      <c r="N25" s="1"/>
    </row>
    <row r="26" customFormat="false" ht="15" hidden="false" customHeight="false" outlineLevel="0" collapsed="false">
      <c r="A26" s="1"/>
      <c r="B26" s="48" t="str">
        <f aca="false">IF(Settings!$B$6="","",Settings!$B$6)</f>
        <v>Food &amp; Groceries</v>
      </c>
      <c r="C26" s="52" t="n">
        <f aca="false">IF($B26="","",SUMPRODUCT((Budget!$A$5:$A$44=$B26)*Budget!$C$5:$C$44*((Budget!$B$5:$B$44="Monthly")+(Budget!$B$5:$B$44="Daily")*DaysInMonth+(Budget!$B$5:$B$44="Weekly")*DaysInMonth/7)*(Budget!$D$5:$D$44&lt;=PeriodEnd)*(((Budget!$E$5:$E$44="")+(Budget!$E$5:$E$44&gt;=PeriodStart))&gt;0)))</f>
        <v>0</v>
      </c>
      <c r="D26" s="52" t="n">
        <f aca="false">IF($B26="","",SUMIFS(Transactions!$E$5:$E$5004,Transactions!$D$5:$D$5004,$B26,Transactions!$A$5:$A$5004,"&gt;="&amp;PeriodStart,Transactions!$A$5:$A$5004,"&lt;="&amp;PeriodEnd))</f>
        <v>0</v>
      </c>
      <c r="E26" s="52" t="n">
        <f aca="false">IF($B26="","",C26-D26)</f>
        <v>0</v>
      </c>
      <c r="F26" s="59" t="n">
        <f aca="false">IF($B26="","",IF(C26=0,0,D26/C26))</f>
        <v>0</v>
      </c>
      <c r="G26" s="50" t="str">
        <f aca="false">IF($B26="","",IF(C26=0,IF(D26&gt;0,"No budget","-"),IF(D26&gt;C26,"OVER",IF(D26&gt;=WarnPct*C26,"Watch","OK"))))</f>
        <v>-</v>
      </c>
      <c r="H26" s="1"/>
      <c r="I26" s="1"/>
      <c r="J26" s="1"/>
      <c r="K26" s="1"/>
      <c r="L26" s="1"/>
      <c r="M26" s="1"/>
      <c r="N26" s="1"/>
    </row>
    <row r="27" customFormat="false" ht="15" hidden="false" customHeight="false" outlineLevel="0" collapsed="false">
      <c r="A27" s="1"/>
      <c r="B27" s="48" t="str">
        <f aca="false">IF(Settings!$B$7="","",Settings!$B$7)</f>
        <v>Eating Out</v>
      </c>
      <c r="C27" s="52" t="n">
        <f aca="false">IF($B27="","",SUMPRODUCT((Budget!$A$5:$A$44=$B27)*Budget!$C$5:$C$44*((Budget!$B$5:$B$44="Monthly")+(Budget!$B$5:$B$44="Daily")*DaysInMonth+(Budget!$B$5:$B$44="Weekly")*DaysInMonth/7)*(Budget!$D$5:$D$44&lt;=PeriodEnd)*(((Budget!$E$5:$E$44="")+(Budget!$E$5:$E$44&gt;=PeriodStart))&gt;0)))</f>
        <v>0</v>
      </c>
      <c r="D27" s="52" t="n">
        <f aca="false">IF($B27="","",SUMIFS(Transactions!$E$5:$E$5004,Transactions!$D$5:$D$5004,$B27,Transactions!$A$5:$A$5004,"&gt;="&amp;PeriodStart,Transactions!$A$5:$A$5004,"&lt;="&amp;PeriodEnd))</f>
        <v>0</v>
      </c>
      <c r="E27" s="52" t="n">
        <f aca="false">IF($B27="","",C27-D27)</f>
        <v>0</v>
      </c>
      <c r="F27" s="59" t="n">
        <f aca="false">IF($B27="","",IF(C27=0,0,D27/C27))</f>
        <v>0</v>
      </c>
      <c r="G27" s="50" t="str">
        <f aca="false">IF($B27="","",IF(C27=0,IF(D27&gt;0,"No budget","-"),IF(D27&gt;C27,"OVER",IF(D27&gt;=WarnPct*C27,"Watch","OK"))))</f>
        <v>-</v>
      </c>
      <c r="H27" s="1"/>
      <c r="I27" s="1"/>
      <c r="J27" s="1"/>
      <c r="K27" s="1"/>
      <c r="L27" s="1"/>
      <c r="M27" s="1"/>
      <c r="N27" s="1"/>
    </row>
    <row r="28" customFormat="false" ht="15" hidden="false" customHeight="false" outlineLevel="0" collapsed="false">
      <c r="A28" s="1"/>
      <c r="B28" s="48" t="str">
        <f aca="false">IF(Settings!$B$8="","",Settings!$B$8)</f>
        <v>Rent &amp; Housing</v>
      </c>
      <c r="C28" s="52" t="n">
        <f aca="false">IF($B28="","",SUMPRODUCT((Budget!$A$5:$A$44=$B28)*Budget!$C$5:$C$44*((Budget!$B$5:$B$44="Monthly")+(Budget!$B$5:$B$44="Daily")*DaysInMonth+(Budget!$B$5:$B$44="Weekly")*DaysInMonth/7)*(Budget!$D$5:$D$44&lt;=PeriodEnd)*(((Budget!$E$5:$E$44="")+(Budget!$E$5:$E$44&gt;=PeriodStart))&gt;0)))</f>
        <v>0</v>
      </c>
      <c r="D28" s="52" t="n">
        <f aca="false">IF($B28="","",SUMIFS(Transactions!$E$5:$E$5004,Transactions!$D$5:$D$5004,$B28,Transactions!$A$5:$A$5004,"&gt;="&amp;PeriodStart,Transactions!$A$5:$A$5004,"&lt;="&amp;PeriodEnd))</f>
        <v>0</v>
      </c>
      <c r="E28" s="52" t="n">
        <f aca="false">IF($B28="","",C28-D28)</f>
        <v>0</v>
      </c>
      <c r="F28" s="59" t="n">
        <f aca="false">IF($B28="","",IF(C28=0,0,D28/C28))</f>
        <v>0</v>
      </c>
      <c r="G28" s="50" t="str">
        <f aca="false">IF($B28="","",IF(C28=0,IF(D28&gt;0,"No budget","-"),IF(D28&gt;C28,"OVER",IF(D28&gt;=WarnPct*C28,"Watch","OK"))))</f>
        <v>-</v>
      </c>
      <c r="H28" s="1"/>
      <c r="I28" s="1"/>
      <c r="J28" s="1"/>
      <c r="K28" s="1"/>
      <c r="L28" s="1"/>
      <c r="M28" s="1"/>
      <c r="N28" s="1"/>
    </row>
    <row r="29" customFormat="false" ht="15" hidden="false" customHeight="false" outlineLevel="0" collapsed="false">
      <c r="A29" s="1"/>
      <c r="B29" s="48" t="str">
        <f aca="false">IF(Settings!$B$9="","",Settings!$B$9)</f>
        <v>Utilities</v>
      </c>
      <c r="C29" s="52" t="n">
        <f aca="false">IF($B29="","",SUMPRODUCT((Budget!$A$5:$A$44=$B29)*Budget!$C$5:$C$44*((Budget!$B$5:$B$44="Monthly")+(Budget!$B$5:$B$44="Daily")*DaysInMonth+(Budget!$B$5:$B$44="Weekly")*DaysInMonth/7)*(Budget!$D$5:$D$44&lt;=PeriodEnd)*(((Budget!$E$5:$E$44="")+(Budget!$E$5:$E$44&gt;=PeriodStart))&gt;0)))</f>
        <v>0</v>
      </c>
      <c r="D29" s="52" t="n">
        <f aca="false">IF($B29="","",SUMIFS(Transactions!$E$5:$E$5004,Transactions!$D$5:$D$5004,$B29,Transactions!$A$5:$A$5004,"&gt;="&amp;PeriodStart,Transactions!$A$5:$A$5004,"&lt;="&amp;PeriodEnd))</f>
        <v>0</v>
      </c>
      <c r="E29" s="52" t="n">
        <f aca="false">IF($B29="","",C29-D29)</f>
        <v>0</v>
      </c>
      <c r="F29" s="59" t="n">
        <f aca="false">IF($B29="","",IF(C29=0,0,D29/C29))</f>
        <v>0</v>
      </c>
      <c r="G29" s="50" t="str">
        <f aca="false">IF($B29="","",IF(C29=0,IF(D29&gt;0,"No budget","-"),IF(D29&gt;C29,"OVER",IF(D29&gt;=WarnPct*C29,"Watch","OK"))))</f>
        <v>-</v>
      </c>
      <c r="H29" s="1"/>
      <c r="I29" s="1"/>
      <c r="J29" s="1"/>
      <c r="K29" s="1"/>
      <c r="L29" s="1"/>
      <c r="M29" s="1"/>
      <c r="N29" s="1"/>
    </row>
    <row r="30" customFormat="false" ht="15" hidden="false" customHeight="false" outlineLevel="0" collapsed="false">
      <c r="A30" s="1"/>
      <c r="B30" s="48" t="str">
        <f aca="false">IF(Settings!$B$10="","",Settings!$B$10)</f>
        <v>Transport &amp; Fuel</v>
      </c>
      <c r="C30" s="52" t="n">
        <f aca="false">IF($B30="","",SUMPRODUCT((Budget!$A$5:$A$44=$B30)*Budget!$C$5:$C$44*((Budget!$B$5:$B$44="Monthly")+(Budget!$B$5:$B$44="Daily")*DaysInMonth+(Budget!$B$5:$B$44="Weekly")*DaysInMonth/7)*(Budget!$D$5:$D$44&lt;=PeriodEnd)*(((Budget!$E$5:$E$44="")+(Budget!$E$5:$E$44&gt;=PeriodStart))&gt;0)))</f>
        <v>0</v>
      </c>
      <c r="D30" s="52" t="n">
        <f aca="false">IF($B30="","",SUMIFS(Transactions!$E$5:$E$5004,Transactions!$D$5:$D$5004,$B30,Transactions!$A$5:$A$5004,"&gt;="&amp;PeriodStart,Transactions!$A$5:$A$5004,"&lt;="&amp;PeriodEnd))</f>
        <v>0</v>
      </c>
      <c r="E30" s="52" t="n">
        <f aca="false">IF($B30="","",C30-D30)</f>
        <v>0</v>
      </c>
      <c r="F30" s="59" t="n">
        <f aca="false">IF($B30="","",IF(C30=0,0,D30/C30))</f>
        <v>0</v>
      </c>
      <c r="G30" s="50" t="str">
        <f aca="false">IF($B30="","",IF(C30=0,IF(D30&gt;0,"No budget","-"),IF(D30&gt;C30,"OVER",IF(D30&gt;=WarnPct*C30,"Watch","OK"))))</f>
        <v>-</v>
      </c>
      <c r="H30" s="1"/>
      <c r="I30" s="1"/>
      <c r="J30" s="1"/>
      <c r="K30" s="1"/>
      <c r="L30" s="1"/>
      <c r="M30" s="1"/>
      <c r="N30" s="1"/>
    </row>
    <row r="31" customFormat="false" ht="15" hidden="false" customHeight="false" outlineLevel="0" collapsed="false">
      <c r="A31" s="1"/>
      <c r="B31" s="48" t="str">
        <f aca="false">IF(Settings!$B$11="","",Settings!$B$11)</f>
        <v>Airtime &amp; Data</v>
      </c>
      <c r="C31" s="52" t="n">
        <f aca="false">IF($B31="","",SUMPRODUCT((Budget!$A$5:$A$44=$B31)*Budget!$C$5:$C$44*((Budget!$B$5:$B$44="Monthly")+(Budget!$B$5:$B$44="Daily")*DaysInMonth+(Budget!$B$5:$B$44="Weekly")*DaysInMonth/7)*(Budget!$D$5:$D$44&lt;=PeriodEnd)*(((Budget!$E$5:$E$44="")+(Budget!$E$5:$E$44&gt;=PeriodStart))&gt;0)))</f>
        <v>0</v>
      </c>
      <c r="D31" s="52" t="n">
        <f aca="false">IF($B31="","",SUMIFS(Transactions!$E$5:$E$5004,Transactions!$D$5:$D$5004,$B31,Transactions!$A$5:$A$5004,"&gt;="&amp;PeriodStart,Transactions!$A$5:$A$5004,"&lt;="&amp;PeriodEnd))</f>
        <v>0</v>
      </c>
      <c r="E31" s="52" t="n">
        <f aca="false">IF($B31="","",C31-D31)</f>
        <v>0</v>
      </c>
      <c r="F31" s="59" t="n">
        <f aca="false">IF($B31="","",IF(C31=0,0,D31/C31))</f>
        <v>0</v>
      </c>
      <c r="G31" s="50" t="str">
        <f aca="false">IF($B31="","",IF(C31=0,IF(D31&gt;0,"No budget","-"),IF(D31&gt;C31,"OVER",IF(D31&gt;=WarnPct*C31,"Watch","OK"))))</f>
        <v>-</v>
      </c>
      <c r="H31" s="1"/>
      <c r="I31" s="1"/>
      <c r="J31" s="1"/>
      <c r="K31" s="1"/>
      <c r="L31" s="1"/>
      <c r="M31" s="1"/>
      <c r="N31" s="1"/>
    </row>
    <row r="32" customFormat="false" ht="15" hidden="false" customHeight="false" outlineLevel="0" collapsed="false">
      <c r="A32" s="1"/>
      <c r="B32" s="48" t="str">
        <f aca="false">IF(Settings!$B$12="","",Settings!$B$12)</f>
        <v>Health &amp; Medical</v>
      </c>
      <c r="C32" s="52" t="n">
        <f aca="false">IF($B32="","",SUMPRODUCT((Budget!$A$5:$A$44=$B32)*Budget!$C$5:$C$44*((Budget!$B$5:$B$44="Monthly")+(Budget!$B$5:$B$44="Daily")*DaysInMonth+(Budget!$B$5:$B$44="Weekly")*DaysInMonth/7)*(Budget!$D$5:$D$44&lt;=PeriodEnd)*(((Budget!$E$5:$E$44="")+(Budget!$E$5:$E$44&gt;=PeriodStart))&gt;0)))</f>
        <v>0</v>
      </c>
      <c r="D32" s="52" t="n">
        <f aca="false">IF($B32="","",SUMIFS(Transactions!$E$5:$E$5004,Transactions!$D$5:$D$5004,$B32,Transactions!$A$5:$A$5004,"&gt;="&amp;PeriodStart,Transactions!$A$5:$A$5004,"&lt;="&amp;PeriodEnd))</f>
        <v>0</v>
      </c>
      <c r="E32" s="52" t="n">
        <f aca="false">IF($B32="","",C32-D32)</f>
        <v>0</v>
      </c>
      <c r="F32" s="59" t="n">
        <f aca="false">IF($B32="","",IF(C32=0,0,D32/C32))</f>
        <v>0</v>
      </c>
      <c r="G32" s="50" t="str">
        <f aca="false">IF($B32="","",IF(C32=0,IF(D32&gt;0,"No budget","-"),IF(D32&gt;C32,"OVER",IF(D32&gt;=WarnPct*C32,"Watch","OK"))))</f>
        <v>-</v>
      </c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48" t="str">
        <f aca="false">IF(Settings!$B$13="","",Settings!$B$13)</f>
        <v>Education &amp; School Fees</v>
      </c>
      <c r="C33" s="52" t="n">
        <f aca="false">IF($B33="","",SUMPRODUCT((Budget!$A$5:$A$44=$B33)*Budget!$C$5:$C$44*((Budget!$B$5:$B$44="Monthly")+(Budget!$B$5:$B$44="Daily")*DaysInMonth+(Budget!$B$5:$B$44="Weekly")*DaysInMonth/7)*(Budget!$D$5:$D$44&lt;=PeriodEnd)*(((Budget!$E$5:$E$44="")+(Budget!$E$5:$E$44&gt;=PeriodStart))&gt;0)))</f>
        <v>0</v>
      </c>
      <c r="D33" s="52" t="n">
        <f aca="false">IF($B33="","",SUMIFS(Transactions!$E$5:$E$5004,Transactions!$D$5:$D$5004,$B33,Transactions!$A$5:$A$5004,"&gt;="&amp;PeriodStart,Transactions!$A$5:$A$5004,"&lt;="&amp;PeriodEnd))</f>
        <v>0</v>
      </c>
      <c r="E33" s="52" t="n">
        <f aca="false">IF($B33="","",C33-D33)</f>
        <v>0</v>
      </c>
      <c r="F33" s="59" t="n">
        <f aca="false">IF($B33="","",IF(C33=0,0,D33/C33))</f>
        <v>0</v>
      </c>
      <c r="G33" s="50" t="str">
        <f aca="false">IF($B33="","",IF(C33=0,IF(D33&gt;0,"No budget","-"),IF(D33&gt;C33,"OVER",IF(D33&gt;=WarnPct*C33,"Watch","OK"))))</f>
        <v>-</v>
      </c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48" t="str">
        <f aca="false">IF(Settings!$B$14="","",Settings!$B$14)</f>
        <v>Business Expenses</v>
      </c>
      <c r="C34" s="52" t="n">
        <f aca="false">IF($B34="","",SUMPRODUCT((Budget!$A$5:$A$44=$B34)*Budget!$C$5:$C$44*((Budget!$B$5:$B$44="Monthly")+(Budget!$B$5:$B$44="Daily")*DaysInMonth+(Budget!$B$5:$B$44="Weekly")*DaysInMonth/7)*(Budget!$D$5:$D$44&lt;=PeriodEnd)*(((Budget!$E$5:$E$44="")+(Budget!$E$5:$E$44&gt;=PeriodStart))&gt;0)))</f>
        <v>0</v>
      </c>
      <c r="D34" s="52" t="n">
        <f aca="false">IF($B34="","",SUMIFS(Transactions!$E$5:$E$5004,Transactions!$D$5:$D$5004,$B34,Transactions!$A$5:$A$5004,"&gt;="&amp;PeriodStart,Transactions!$A$5:$A$5004,"&lt;="&amp;PeriodEnd))</f>
        <v>0</v>
      </c>
      <c r="E34" s="52" t="n">
        <f aca="false">IF($B34="","",C34-D34)</f>
        <v>0</v>
      </c>
      <c r="F34" s="59" t="n">
        <f aca="false">IF($B34="","",IF(C34=0,0,D34/C34))</f>
        <v>0</v>
      </c>
      <c r="G34" s="50" t="str">
        <f aca="false">IF($B34="","",IF(C34=0,IF(D34&gt;0,"No budget","-"),IF(D34&gt;C34,"OVER",IF(D34&gt;=WarnPct*C34,"Watch","OK"))))</f>
        <v>-</v>
      </c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48" t="str">
        <f aca="false">IF(Settings!$B$15="","",Settings!$B$15)</f>
        <v>Shopping &amp; Clothing</v>
      </c>
      <c r="C35" s="52" t="n">
        <f aca="false">IF($B35="","",SUMPRODUCT((Budget!$A$5:$A$44=$B35)*Budget!$C$5:$C$44*((Budget!$B$5:$B$44="Monthly")+(Budget!$B$5:$B$44="Daily")*DaysInMonth+(Budget!$B$5:$B$44="Weekly")*DaysInMonth/7)*(Budget!$D$5:$D$44&lt;=PeriodEnd)*(((Budget!$E$5:$E$44="")+(Budget!$E$5:$E$44&gt;=PeriodStart))&gt;0)))</f>
        <v>0</v>
      </c>
      <c r="D35" s="52" t="n">
        <f aca="false">IF($B35="","",SUMIFS(Transactions!$E$5:$E$5004,Transactions!$D$5:$D$5004,$B35,Transactions!$A$5:$A$5004,"&gt;="&amp;PeriodStart,Transactions!$A$5:$A$5004,"&lt;="&amp;PeriodEnd))</f>
        <v>0</v>
      </c>
      <c r="E35" s="52" t="n">
        <f aca="false">IF($B35="","",C35-D35)</f>
        <v>0</v>
      </c>
      <c r="F35" s="59" t="n">
        <f aca="false">IF($B35="","",IF(C35=0,0,D35/C35))</f>
        <v>0</v>
      </c>
      <c r="G35" s="50" t="str">
        <f aca="false">IF($B35="","",IF(C35=0,IF(D35&gt;0,"No budget","-"),IF(D35&gt;C35,"OVER",IF(D35&gt;=WarnPct*C35,"Watch","OK"))))</f>
        <v>-</v>
      </c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48" t="str">
        <f aca="false">IF(Settings!$B$16="","",Settings!$B$16)</f>
        <v>Entertainment &amp; Leisure</v>
      </c>
      <c r="C36" s="52" t="n">
        <f aca="false">IF($B36="","",SUMPRODUCT((Budget!$A$5:$A$44=$B36)*Budget!$C$5:$C$44*((Budget!$B$5:$B$44="Monthly")+(Budget!$B$5:$B$44="Daily")*DaysInMonth+(Budget!$B$5:$B$44="Weekly")*DaysInMonth/7)*(Budget!$D$5:$D$44&lt;=PeriodEnd)*(((Budget!$E$5:$E$44="")+(Budget!$E$5:$E$44&gt;=PeriodStart))&gt;0)))</f>
        <v>0</v>
      </c>
      <c r="D36" s="52" t="n">
        <f aca="false">IF($B36="","",SUMIFS(Transactions!$E$5:$E$5004,Transactions!$D$5:$D$5004,$B36,Transactions!$A$5:$A$5004,"&gt;="&amp;PeriodStart,Transactions!$A$5:$A$5004,"&lt;="&amp;PeriodEnd))</f>
        <v>0</v>
      </c>
      <c r="E36" s="52" t="n">
        <f aca="false">IF($B36="","",C36-D36)</f>
        <v>0</v>
      </c>
      <c r="F36" s="59" t="n">
        <f aca="false">IF($B36="","",IF(C36=0,0,D36/C36))</f>
        <v>0</v>
      </c>
      <c r="G36" s="50" t="str">
        <f aca="false">IF($B36="","",IF(C36=0,IF(D36&gt;0,"No budget","-"),IF(D36&gt;C36,"OVER",IF(D36&gt;=WarnPct*C36,"Watch","OK"))))</f>
        <v>-</v>
      </c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48" t="str">
        <f aca="false">IF(Settings!$B$17="","",Settings!$B$17)</f>
        <v>Personal Care</v>
      </c>
      <c r="C37" s="52" t="n">
        <f aca="false">IF($B37="","",SUMPRODUCT((Budget!$A$5:$A$44=$B37)*Budget!$C$5:$C$44*((Budget!$B$5:$B$44="Monthly")+(Budget!$B$5:$B$44="Daily")*DaysInMonth+(Budget!$B$5:$B$44="Weekly")*DaysInMonth/7)*(Budget!$D$5:$D$44&lt;=PeriodEnd)*(((Budget!$E$5:$E$44="")+(Budget!$E$5:$E$44&gt;=PeriodStart))&gt;0)))</f>
        <v>0</v>
      </c>
      <c r="D37" s="52" t="n">
        <f aca="false">IF($B37="","",SUMIFS(Transactions!$E$5:$E$5004,Transactions!$D$5:$D$5004,$B37,Transactions!$A$5:$A$5004,"&gt;="&amp;PeriodStart,Transactions!$A$5:$A$5004,"&lt;="&amp;PeriodEnd))</f>
        <v>0</v>
      </c>
      <c r="E37" s="52" t="n">
        <f aca="false">IF($B37="","",C37-D37)</f>
        <v>0</v>
      </c>
      <c r="F37" s="59" t="n">
        <f aca="false">IF($B37="","",IF(C37=0,0,D37/C37))</f>
        <v>0</v>
      </c>
      <c r="G37" s="50" t="str">
        <f aca="false">IF($B37="","",IF(C37=0,IF(D37&gt;0,"No budget","-"),IF(D37&gt;C37,"OVER",IF(D37&gt;=WarnPct*C37,"Watch","OK"))))</f>
        <v>-</v>
      </c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48" t="str">
        <f aca="false">IF(Settings!$B$18="","",Settings!$B$18)</f>
        <v>Family &amp; Support</v>
      </c>
      <c r="C38" s="52" t="n">
        <f aca="false">IF($B38="","",SUMPRODUCT((Budget!$A$5:$A$44=$B38)*Budget!$C$5:$C$44*((Budget!$B$5:$B$44="Monthly")+(Budget!$B$5:$B$44="Daily")*DaysInMonth+(Budget!$B$5:$B$44="Weekly")*DaysInMonth/7)*(Budget!$D$5:$D$44&lt;=PeriodEnd)*(((Budget!$E$5:$E$44="")+(Budget!$E$5:$E$44&gt;=PeriodStart))&gt;0)))</f>
        <v>0</v>
      </c>
      <c r="D38" s="52" t="n">
        <f aca="false">IF($B38="","",SUMIFS(Transactions!$E$5:$E$5004,Transactions!$D$5:$D$5004,$B38,Transactions!$A$5:$A$5004,"&gt;="&amp;PeriodStart,Transactions!$A$5:$A$5004,"&lt;="&amp;PeriodEnd))</f>
        <v>0</v>
      </c>
      <c r="E38" s="52" t="n">
        <f aca="false">IF($B38="","",C38-D38)</f>
        <v>0</v>
      </c>
      <c r="F38" s="59" t="n">
        <f aca="false">IF($B38="","",IF(C38=0,0,D38/C38))</f>
        <v>0</v>
      </c>
      <c r="G38" s="50" t="str">
        <f aca="false">IF($B38="","",IF(C38=0,IF(D38&gt;0,"No budget","-"),IF(D38&gt;C38,"OVER",IF(D38&gt;=WarnPct*C38,"Watch","OK"))))</f>
        <v>-</v>
      </c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48" t="str">
        <f aca="false">IF(Settings!$B$19="","",Settings!$B$19)</f>
        <v>Giving &amp; Church</v>
      </c>
      <c r="C39" s="52" t="n">
        <f aca="false">IF($B39="","",SUMPRODUCT((Budget!$A$5:$A$44=$B39)*Budget!$C$5:$C$44*((Budget!$B$5:$B$44="Monthly")+(Budget!$B$5:$B$44="Daily")*DaysInMonth+(Budget!$B$5:$B$44="Weekly")*DaysInMonth/7)*(Budget!$D$5:$D$44&lt;=PeriodEnd)*(((Budget!$E$5:$E$44="")+(Budget!$E$5:$E$44&gt;=PeriodStart))&gt;0)))</f>
        <v>0</v>
      </c>
      <c r="D39" s="52" t="n">
        <f aca="false">IF($B39="","",SUMIFS(Transactions!$E$5:$E$5004,Transactions!$D$5:$D$5004,$B39,Transactions!$A$5:$A$5004,"&gt;="&amp;PeriodStart,Transactions!$A$5:$A$5004,"&lt;="&amp;PeriodEnd))</f>
        <v>0</v>
      </c>
      <c r="E39" s="52" t="n">
        <f aca="false">IF($B39="","",C39-D39)</f>
        <v>0</v>
      </c>
      <c r="F39" s="59" t="n">
        <f aca="false">IF($B39="","",IF(C39=0,0,D39/C39))</f>
        <v>0</v>
      </c>
      <c r="G39" s="50" t="str">
        <f aca="false">IF($B39="","",IF(C39=0,IF(D39&gt;0,"No budget","-"),IF(D39&gt;C39,"OVER",IF(D39&gt;=WarnPct*C39,"Watch","OK"))))</f>
        <v>-</v>
      </c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48" t="str">
        <f aca="false">IF(Settings!$B$20="","",Settings!$B$20)</f>
        <v>Loans &amp; Debt</v>
      </c>
      <c r="C40" s="52" t="n">
        <f aca="false">IF($B40="","",SUMPRODUCT((Budget!$A$5:$A$44=$B40)*Budget!$C$5:$C$44*((Budget!$B$5:$B$44="Monthly")+(Budget!$B$5:$B$44="Daily")*DaysInMonth+(Budget!$B$5:$B$44="Weekly")*DaysInMonth/7)*(Budget!$D$5:$D$44&lt;=PeriodEnd)*(((Budget!$E$5:$E$44="")+(Budget!$E$5:$E$44&gt;=PeriodStart))&gt;0)))</f>
        <v>0</v>
      </c>
      <c r="D40" s="52" t="n">
        <f aca="false">IF($B40="","",SUMIFS(Transactions!$E$5:$E$5004,Transactions!$D$5:$D$5004,$B40,Transactions!$A$5:$A$5004,"&gt;="&amp;PeriodStart,Transactions!$A$5:$A$5004,"&lt;="&amp;PeriodEnd))</f>
        <v>0</v>
      </c>
      <c r="E40" s="52" t="n">
        <f aca="false">IF($B40="","",C40-D40)</f>
        <v>0</v>
      </c>
      <c r="F40" s="59" t="n">
        <f aca="false">IF($B40="","",IF(C40=0,0,D40/C40))</f>
        <v>0</v>
      </c>
      <c r="G40" s="50" t="str">
        <f aca="false">IF($B40="","",IF(C40=0,IF(D40&gt;0,"No budget","-"),IF(D40&gt;C40,"OVER",IF(D40&gt;=WarnPct*C40,"Watch","OK"))))</f>
        <v>-</v>
      </c>
      <c r="H40" s="1"/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1"/>
      <c r="B41" s="48" t="str">
        <f aca="false">IF(Settings!$B$21="","",Settings!$B$21)</f>
        <v>Other</v>
      </c>
      <c r="C41" s="52" t="n">
        <f aca="false">IF($B41="","",SUMPRODUCT((Budget!$A$5:$A$44=$B41)*Budget!$C$5:$C$44*((Budget!$B$5:$B$44="Monthly")+(Budget!$B$5:$B$44="Daily")*DaysInMonth+(Budget!$B$5:$B$44="Weekly")*DaysInMonth/7)*(Budget!$D$5:$D$44&lt;=PeriodEnd)*(((Budget!$E$5:$E$44="")+(Budget!$E$5:$E$44&gt;=PeriodStart))&gt;0)))</f>
        <v>0</v>
      </c>
      <c r="D41" s="52" t="n">
        <f aca="false">IF($B41="","",SUMIFS(Transactions!$E$5:$E$5004,Transactions!$D$5:$D$5004,$B41,Transactions!$A$5:$A$5004,"&gt;="&amp;PeriodStart,Transactions!$A$5:$A$5004,"&lt;="&amp;PeriodEnd))</f>
        <v>0</v>
      </c>
      <c r="E41" s="52" t="n">
        <f aca="false">IF($B41="","",C41-D41)</f>
        <v>0</v>
      </c>
      <c r="F41" s="59" t="n">
        <f aca="false">IF($B41="","",IF(C41=0,0,D41/C41))</f>
        <v>0</v>
      </c>
      <c r="G41" s="50" t="str">
        <f aca="false">IF($B41="","",IF(C41=0,IF(D41&gt;0,"No budget","-"),IF(D41&gt;C41,"OVER",IF(D41&gt;=WarnPct*C41,"Watch","OK"))))</f>
        <v>-</v>
      </c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60" t="s">
        <v>111</v>
      </c>
      <c r="C42" s="56" t="n">
        <f aca="false">SUM(C26:C41)</f>
        <v>0</v>
      </c>
      <c r="D42" s="56" t="n">
        <f aca="false">SUM(D26:D41)</f>
        <v>0</v>
      </c>
      <c r="E42" s="56" t="n">
        <f aca="false">C42-D42</f>
        <v>0</v>
      </c>
      <c r="F42" s="61" t="n">
        <f aca="false">IF(C42=0,0,D42/C42)</f>
        <v>0</v>
      </c>
      <c r="G42" s="54" t="str">
        <f aca="false">IF(C42=0,"-",IF(D42&gt;C42,"OVER",IF(D42&gt;=WarnPct*C42,"Watch","OK")))</f>
        <v>-</v>
      </c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21.75" hidden="false" customHeight="true" outlineLevel="0" collapsed="false">
      <c r="A45" s="1"/>
      <c r="B45" s="4" t="s">
        <v>112</v>
      </c>
      <c r="C45" s="4"/>
      <c r="D45" s="4"/>
      <c r="E45" s="1"/>
      <c r="F45" s="4" t="s">
        <v>113</v>
      </c>
      <c r="G45" s="4"/>
      <c r="H45" s="4"/>
      <c r="I45" s="1"/>
      <c r="J45" s="1"/>
      <c r="K45" s="1"/>
      <c r="L45" s="1"/>
      <c r="M45" s="1"/>
      <c r="N45" s="1"/>
    </row>
    <row r="46" customFormat="false" ht="19.5" hidden="false" customHeight="true" outlineLevel="0" collapsed="false">
      <c r="A46" s="1"/>
      <c r="B46" s="22" t="s">
        <v>114</v>
      </c>
      <c r="C46" s="22" t="s">
        <v>40</v>
      </c>
      <c r="D46" s="22" t="s">
        <v>115</v>
      </c>
      <c r="E46" s="1"/>
      <c r="F46" s="22" t="s">
        <v>116</v>
      </c>
      <c r="G46" s="22" t="s">
        <v>40</v>
      </c>
      <c r="H46" s="22" t="s">
        <v>115</v>
      </c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48" t="str">
        <f aca="false">IF(Settings!$E$6="","",Settings!$E$6)</f>
        <v>Salary</v>
      </c>
      <c r="C47" s="52" t="n">
        <f aca="false">IF($B47="","",SUMIFS(Income!$D$5:$D$2004,Income!$B$5:$B$2004,$B47,Income!$A$5:$A$2004,"&gt;="&amp;PeriodStart,Income!$A$5:$A$2004,"&lt;="&amp;PeriodEnd))</f>
        <v>0</v>
      </c>
      <c r="D47" s="59" t="n">
        <f aca="false">IF($B47="","",IF($C$55=0,0,C47/$C$55))</f>
        <v>0</v>
      </c>
      <c r="E47" s="1"/>
      <c r="F47" s="48" t="str">
        <f aca="false">IF(Settings!$D$6="","",Settings!$D$6)</f>
        <v>Cash</v>
      </c>
      <c r="G47" s="52" t="n">
        <f aca="false">IF($F47="","",SUMIFS(Transactions!$E$5:$E$5004,Transactions!$F$5:$F$5004,$F47,Transactions!$A$5:$A$5004,"&gt;="&amp;PeriodStart,Transactions!$A$5:$A$5004,"&lt;="&amp;PeriodEnd))</f>
        <v>0</v>
      </c>
      <c r="H47" s="59" t="n">
        <f aca="false">IF($F47="","",IF($G$55=0,0,G47/$G$55))</f>
        <v>0</v>
      </c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48" t="str">
        <f aca="false">IF(Settings!$E$7="","",Settings!$E$7)</f>
        <v>Business Income</v>
      </c>
      <c r="C48" s="52" t="n">
        <f aca="false">IF($B48="","",SUMIFS(Income!$D$5:$D$2004,Income!$B$5:$B$2004,$B48,Income!$A$5:$A$2004,"&gt;="&amp;PeriodStart,Income!$A$5:$A$2004,"&lt;="&amp;PeriodEnd))</f>
        <v>0</v>
      </c>
      <c r="D48" s="59" t="n">
        <f aca="false">IF($B48="","",IF($C$55=0,0,C48/$C$55))</f>
        <v>0</v>
      </c>
      <c r="E48" s="1"/>
      <c r="F48" s="48" t="str">
        <f aca="false">IF(Settings!$D$7="","",Settings!$D$7)</f>
        <v>M-Pesa</v>
      </c>
      <c r="G48" s="52" t="n">
        <f aca="false">IF($F48="","",SUMIFS(Transactions!$E$5:$E$5004,Transactions!$F$5:$F$5004,$F48,Transactions!$A$5:$A$5004,"&gt;="&amp;PeriodStart,Transactions!$A$5:$A$5004,"&lt;="&amp;PeriodEnd))</f>
        <v>0</v>
      </c>
      <c r="H48" s="59" t="n">
        <f aca="false">IF($F48="","",IF($G$55=0,0,G48/$G$55))</f>
        <v>0</v>
      </c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48" t="str">
        <f aca="false">IF(Settings!$E$8="","",Settings!$E$8)</f>
        <v>Freelance / Client Project</v>
      </c>
      <c r="C49" s="52" t="n">
        <f aca="false">IF($B49="","",SUMIFS(Income!$D$5:$D$2004,Income!$B$5:$B$2004,$B49,Income!$A$5:$A$2004,"&gt;="&amp;PeriodStart,Income!$A$5:$A$2004,"&lt;="&amp;PeriodEnd))</f>
        <v>0</v>
      </c>
      <c r="D49" s="59" t="n">
        <f aca="false">IF($B49="","",IF($C$55=0,0,C49/$C$55))</f>
        <v>0</v>
      </c>
      <c r="E49" s="1"/>
      <c r="F49" s="48" t="str">
        <f aca="false">IF(Settings!$D$8="","",Settings!$D$8)</f>
        <v>Bank Card</v>
      </c>
      <c r="G49" s="52" t="n">
        <f aca="false">IF($F49="","",SUMIFS(Transactions!$E$5:$E$5004,Transactions!$F$5:$F$5004,$F49,Transactions!$A$5:$A$5004,"&gt;="&amp;PeriodStart,Transactions!$A$5:$A$5004,"&lt;="&amp;PeriodEnd))</f>
        <v>0</v>
      </c>
      <c r="H49" s="59" t="n">
        <f aca="false">IF($F49="","",IF($G$55=0,0,G49/$G$55))</f>
        <v>0</v>
      </c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48" t="str">
        <f aca="false">IF(Settings!$E$9="","",Settings!$E$9)</f>
        <v>Side Hustle</v>
      </c>
      <c r="C50" s="52" t="n">
        <f aca="false">IF($B50="","",SUMIFS(Income!$D$5:$D$2004,Income!$B$5:$B$2004,$B50,Income!$A$5:$A$2004,"&gt;="&amp;PeriodStart,Income!$A$5:$A$2004,"&lt;="&amp;PeriodEnd))</f>
        <v>0</v>
      </c>
      <c r="D50" s="59" t="n">
        <f aca="false">IF($B50="","",IF($C$55=0,0,C50/$C$55))</f>
        <v>0</v>
      </c>
      <c r="E50" s="1"/>
      <c r="F50" s="48" t="str">
        <f aca="false">IF(Settings!$D$9="","",Settings!$D$9)</f>
        <v>Bank Transfer</v>
      </c>
      <c r="G50" s="52" t="n">
        <f aca="false">IF($F50="","",SUMIFS(Transactions!$E$5:$E$5004,Transactions!$F$5:$F$5004,$F50,Transactions!$A$5:$A$5004,"&gt;="&amp;PeriodStart,Transactions!$A$5:$A$5004,"&lt;="&amp;PeriodEnd))</f>
        <v>0</v>
      </c>
      <c r="H50" s="59" t="n">
        <f aca="false">IF($F50="","",IF($G$55=0,0,G50/$G$55))</f>
        <v>0</v>
      </c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48" t="str">
        <f aca="false">IF(Settings!$E$10="","",Settings!$E$10)</f>
        <v>Gift / Support</v>
      </c>
      <c r="C51" s="52" t="n">
        <f aca="false">IF($B51="","",SUMIFS(Income!$D$5:$D$2004,Income!$B$5:$B$2004,$B51,Income!$A$5:$A$2004,"&gt;="&amp;PeriodStart,Income!$A$5:$A$2004,"&lt;="&amp;PeriodEnd))</f>
        <v>0</v>
      </c>
      <c r="D51" s="59" t="n">
        <f aca="false">IF($B51="","",IF($C$55=0,0,C51/$C$55))</f>
        <v>0</v>
      </c>
      <c r="E51" s="1"/>
      <c r="F51" s="48" t="str">
        <f aca="false">IF(Settings!$D$10="","",Settings!$D$10)</f>
        <v>Airtel Money</v>
      </c>
      <c r="G51" s="52" t="n">
        <f aca="false">IF($F51="","",SUMIFS(Transactions!$E$5:$E$5004,Transactions!$F$5:$F$5004,$F51,Transactions!$A$5:$A$5004,"&gt;="&amp;PeriodStart,Transactions!$A$5:$A$5004,"&lt;="&amp;PeriodEnd))</f>
        <v>0</v>
      </c>
      <c r="H51" s="59" t="n">
        <f aca="false">IF($F51="","",IF($G$55=0,0,G51/$G$55))</f>
        <v>0</v>
      </c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1"/>
      <c r="B52" s="48" t="str">
        <f aca="false">IF(Settings!$E$11="","",Settings!$E$11)</f>
        <v>Interest &amp; Dividends</v>
      </c>
      <c r="C52" s="52" t="n">
        <f aca="false">IF($B52="","",SUMIFS(Income!$D$5:$D$2004,Income!$B$5:$B$2004,$B52,Income!$A$5:$A$2004,"&gt;="&amp;PeriodStart,Income!$A$5:$A$2004,"&lt;="&amp;PeriodEnd))</f>
        <v>0</v>
      </c>
      <c r="D52" s="59" t="n">
        <f aca="false">IF($B52="","",IF($C$55=0,0,C52/$C$55))</f>
        <v>0</v>
      </c>
      <c r="E52" s="1"/>
      <c r="F52" s="48" t="str">
        <f aca="false">IF(Settings!$D$11="","",Settings!$D$11)</f>
        <v>Other</v>
      </c>
      <c r="G52" s="52" t="n">
        <f aca="false">IF($F52="","",SUMIFS(Transactions!$E$5:$E$5004,Transactions!$F$5:$F$5004,$F52,Transactions!$A$5:$A$5004,"&gt;="&amp;PeriodStart,Transactions!$A$5:$A$5004,"&lt;="&amp;PeriodEnd))</f>
        <v>0</v>
      </c>
      <c r="H52" s="59" t="n">
        <f aca="false">IF($F52="","",IF($G$55=0,0,G52/$G$55))</f>
        <v>0</v>
      </c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48" t="str">
        <f aca="false">IF(Settings!$E$12="","",Settings!$E$12)</f>
        <v>Rental Income</v>
      </c>
      <c r="C53" s="52" t="n">
        <f aca="false">IF($B53="","",SUMIFS(Income!$D$5:$D$2004,Income!$B$5:$B$2004,$B53,Income!$A$5:$A$2004,"&gt;="&amp;PeriodStart,Income!$A$5:$A$2004,"&lt;="&amp;PeriodEnd))</f>
        <v>0</v>
      </c>
      <c r="D53" s="59" t="n">
        <f aca="false">IF($B53="","",IF($C$55=0,0,C53/$C$55))</f>
        <v>0</v>
      </c>
      <c r="E53" s="1"/>
      <c r="F53" s="48" t="str">
        <f aca="false">IF(Settings!$D$12="","",Settings!$D$12)</f>
        <v/>
      </c>
      <c r="G53" s="52" t="str">
        <f aca="false">IF($F53="","",SUMIFS(Transactions!$E$5:$E$5004,Transactions!$F$5:$F$5004,$F53,Transactions!$A$5:$A$5004,"&gt;="&amp;PeriodStart,Transactions!$A$5:$A$5004,"&lt;="&amp;PeriodEnd))</f>
        <v/>
      </c>
      <c r="H53" s="59" t="str">
        <f aca="false">IF($F53="","",IF($G$55=0,0,G53/$G$55))</f>
        <v/>
      </c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48" t="str">
        <f aca="false">IF(Settings!$E$13="","",Settings!$E$13)</f>
        <v>Other Income</v>
      </c>
      <c r="C54" s="52" t="n">
        <f aca="false">IF($B54="","",SUMIFS(Income!$D$5:$D$2004,Income!$B$5:$B$2004,$B54,Income!$A$5:$A$2004,"&gt;="&amp;PeriodStart,Income!$A$5:$A$2004,"&lt;="&amp;PeriodEnd))</f>
        <v>0</v>
      </c>
      <c r="D54" s="59" t="n">
        <f aca="false">IF($B54="","",IF($C$55=0,0,C54/$C$55))</f>
        <v>0</v>
      </c>
      <c r="E54" s="1"/>
      <c r="F54" s="48" t="str">
        <f aca="false">IF(Settings!$D$13="","",Settings!$D$13)</f>
        <v/>
      </c>
      <c r="G54" s="52" t="str">
        <f aca="false">IF($F54="","",SUMIFS(Transactions!$E$5:$E$5004,Transactions!$F$5:$F$5004,$F54,Transactions!$A$5:$A$5004,"&gt;="&amp;PeriodStart,Transactions!$A$5:$A$5004,"&lt;="&amp;PeriodEnd))</f>
        <v/>
      </c>
      <c r="H54" s="59" t="str">
        <f aca="false">IF($F54="","",IF($G$55=0,0,G54/$G$55))</f>
        <v/>
      </c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60" t="s">
        <v>111</v>
      </c>
      <c r="C55" s="56" t="n">
        <f aca="false">SUM(C47:C54)</f>
        <v>0</v>
      </c>
      <c r="D55" s="55"/>
      <c r="E55" s="1"/>
      <c r="F55" s="60" t="s">
        <v>111</v>
      </c>
      <c r="G55" s="56" t="n">
        <f aca="false">SUM(G47:G54)</f>
        <v>0</v>
      </c>
      <c r="H55" s="55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21.75" hidden="false" customHeight="true" outlineLevel="0" collapsed="false">
      <c r="A58" s="1"/>
      <c r="B58" s="4" t="s">
        <v>117</v>
      </c>
      <c r="C58" s="4"/>
      <c r="D58" s="4"/>
      <c r="E58" s="4"/>
      <c r="F58" s="4"/>
      <c r="G58" s="4"/>
      <c r="H58" s="1"/>
      <c r="I58" s="1"/>
      <c r="J58" s="1"/>
      <c r="K58" s="1"/>
      <c r="L58" s="1"/>
      <c r="M58" s="1"/>
      <c r="N58" s="1"/>
    </row>
    <row r="59" customFormat="false" ht="19.5" hidden="false" customHeight="true" outlineLevel="0" collapsed="false">
      <c r="A59" s="1"/>
      <c r="B59" s="22" t="s">
        <v>118</v>
      </c>
      <c r="C59" s="22" t="s">
        <v>37</v>
      </c>
      <c r="D59" s="22" t="s">
        <v>119</v>
      </c>
      <c r="E59" s="62" t="s">
        <v>39</v>
      </c>
      <c r="F59" s="62"/>
      <c r="G59" s="22" t="s">
        <v>41</v>
      </c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A60" s="1"/>
      <c r="B60" s="48" t="str">
        <f aca="false">IF(LARGE(Transactions!$J$5:$J$5004,1)=0,"",INDEX(Transactions!$C$5:$C$5004,MATCH(LARGE(Transactions!$J$5:$J$5004,1),Transactions!$J$5:$J$5004,0))&amp;"")</f>
        <v/>
      </c>
      <c r="C60" s="63" t="str">
        <f aca="false">IF(LARGE(Transactions!$J$5:$J$5004,1)=0,"",INDEX(Transactions!$A$5:$A$5004,MATCH(LARGE(Transactions!$J$5:$J$5004,1),Transactions!$J$5:$J$5004,0)))</f>
        <v/>
      </c>
      <c r="D60" s="52" t="str">
        <f aca="false">IF(LARGE(Transactions!$J$5:$J$5004,1)=0,"",INDEX(Transactions!$E$5:$E$5004,MATCH(LARGE(Transactions!$J$5:$J$5004,1),Transactions!$J$5:$J$5004,0)))</f>
        <v/>
      </c>
      <c r="E60" s="29" t="str">
        <f aca="false">IF(LARGE(Transactions!$J$5:$J$5004,1)=0,"",INDEX(Transactions!$D$5:$D$5004,MATCH(LARGE(Transactions!$J$5:$J$5004,1),Transactions!$J$5:$J$5004,0))&amp;"")</f>
        <v/>
      </c>
      <c r="F60" s="29"/>
      <c r="G60" s="50" t="str">
        <f aca="false">IF(LARGE(Transactions!$J$5:$J$5004,1)=0,"",INDEX(Transactions!$F$5:$F$5004,MATCH(LARGE(Transactions!$J$5:$J$5004,1),Transactions!$J$5:$J$5004,0))&amp;"")</f>
        <v/>
      </c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A61" s="1"/>
      <c r="B61" s="48" t="str">
        <f aca="false">IF(LARGE(Transactions!$J$5:$J$5004,2)=0,"",INDEX(Transactions!$C$5:$C$5004,MATCH(LARGE(Transactions!$J$5:$J$5004,2),Transactions!$J$5:$J$5004,0))&amp;"")</f>
        <v/>
      </c>
      <c r="C61" s="63" t="str">
        <f aca="false">IF(LARGE(Transactions!$J$5:$J$5004,2)=0,"",INDEX(Transactions!$A$5:$A$5004,MATCH(LARGE(Transactions!$J$5:$J$5004,2),Transactions!$J$5:$J$5004,0)))</f>
        <v/>
      </c>
      <c r="D61" s="52" t="str">
        <f aca="false">IF(LARGE(Transactions!$J$5:$J$5004,2)=0,"",INDEX(Transactions!$E$5:$E$5004,MATCH(LARGE(Transactions!$J$5:$J$5004,2),Transactions!$J$5:$J$5004,0)))</f>
        <v/>
      </c>
      <c r="E61" s="29" t="str">
        <f aca="false">IF(LARGE(Transactions!$J$5:$J$5004,2)=0,"",INDEX(Transactions!$D$5:$D$5004,MATCH(LARGE(Transactions!$J$5:$J$5004,2),Transactions!$J$5:$J$5004,0))&amp;"")</f>
        <v/>
      </c>
      <c r="F61" s="29"/>
      <c r="G61" s="50" t="str">
        <f aca="false">IF(LARGE(Transactions!$J$5:$J$5004,2)=0,"",INDEX(Transactions!$F$5:$F$5004,MATCH(LARGE(Transactions!$J$5:$J$5004,2),Transactions!$J$5:$J$5004,0))&amp;"")</f>
        <v/>
      </c>
      <c r="H61" s="1"/>
      <c r="I61" s="1"/>
      <c r="J61" s="1"/>
      <c r="K61" s="1"/>
      <c r="L61" s="1"/>
      <c r="M61" s="1"/>
      <c r="N61" s="1"/>
    </row>
    <row r="62" customFormat="false" ht="15" hidden="false" customHeight="false" outlineLevel="0" collapsed="false">
      <c r="A62" s="1"/>
      <c r="B62" s="48" t="str">
        <f aca="false">IF(LARGE(Transactions!$J$5:$J$5004,3)=0,"",INDEX(Transactions!$C$5:$C$5004,MATCH(LARGE(Transactions!$J$5:$J$5004,3),Transactions!$J$5:$J$5004,0))&amp;"")</f>
        <v/>
      </c>
      <c r="C62" s="63" t="str">
        <f aca="false">IF(LARGE(Transactions!$J$5:$J$5004,3)=0,"",INDEX(Transactions!$A$5:$A$5004,MATCH(LARGE(Transactions!$J$5:$J$5004,3),Transactions!$J$5:$J$5004,0)))</f>
        <v/>
      </c>
      <c r="D62" s="52" t="str">
        <f aca="false">IF(LARGE(Transactions!$J$5:$J$5004,3)=0,"",INDEX(Transactions!$E$5:$E$5004,MATCH(LARGE(Transactions!$J$5:$J$5004,3),Transactions!$J$5:$J$5004,0)))</f>
        <v/>
      </c>
      <c r="E62" s="29" t="str">
        <f aca="false">IF(LARGE(Transactions!$J$5:$J$5004,3)=0,"",INDEX(Transactions!$D$5:$D$5004,MATCH(LARGE(Transactions!$J$5:$J$5004,3),Transactions!$J$5:$J$5004,0))&amp;"")</f>
        <v/>
      </c>
      <c r="F62" s="29"/>
      <c r="G62" s="50" t="str">
        <f aca="false">IF(LARGE(Transactions!$J$5:$J$5004,3)=0,"",INDEX(Transactions!$F$5:$F$5004,MATCH(LARGE(Transactions!$J$5:$J$5004,3),Transactions!$J$5:$J$5004,0))&amp;"")</f>
        <v/>
      </c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A63" s="1"/>
      <c r="B63" s="48" t="str">
        <f aca="false">IF(LARGE(Transactions!$J$5:$J$5004,4)=0,"",INDEX(Transactions!$C$5:$C$5004,MATCH(LARGE(Transactions!$J$5:$J$5004,4),Transactions!$J$5:$J$5004,0))&amp;"")</f>
        <v/>
      </c>
      <c r="C63" s="63" t="str">
        <f aca="false">IF(LARGE(Transactions!$J$5:$J$5004,4)=0,"",INDEX(Transactions!$A$5:$A$5004,MATCH(LARGE(Transactions!$J$5:$J$5004,4),Transactions!$J$5:$J$5004,0)))</f>
        <v/>
      </c>
      <c r="D63" s="52" t="str">
        <f aca="false">IF(LARGE(Transactions!$J$5:$J$5004,4)=0,"",INDEX(Transactions!$E$5:$E$5004,MATCH(LARGE(Transactions!$J$5:$J$5004,4),Transactions!$J$5:$J$5004,0)))</f>
        <v/>
      </c>
      <c r="E63" s="29" t="str">
        <f aca="false">IF(LARGE(Transactions!$J$5:$J$5004,4)=0,"",INDEX(Transactions!$D$5:$D$5004,MATCH(LARGE(Transactions!$J$5:$J$5004,4),Transactions!$J$5:$J$5004,0))&amp;"")</f>
        <v/>
      </c>
      <c r="F63" s="29"/>
      <c r="G63" s="50" t="str">
        <f aca="false">IF(LARGE(Transactions!$J$5:$J$5004,4)=0,"",INDEX(Transactions!$F$5:$F$5004,MATCH(LARGE(Transactions!$J$5:$J$5004,4),Transactions!$J$5:$J$5004,0))&amp;"")</f>
        <v/>
      </c>
      <c r="H63" s="1"/>
      <c r="I63" s="1"/>
      <c r="J63" s="1"/>
      <c r="K63" s="1"/>
      <c r="L63" s="1"/>
      <c r="M63" s="1"/>
      <c r="N63" s="1"/>
    </row>
    <row r="64" customFormat="false" ht="15" hidden="false" customHeight="false" outlineLevel="0" collapsed="false">
      <c r="A64" s="1"/>
      <c r="B64" s="48" t="str">
        <f aca="false">IF(LARGE(Transactions!$J$5:$J$5004,5)=0,"",INDEX(Transactions!$C$5:$C$5004,MATCH(LARGE(Transactions!$J$5:$J$5004,5),Transactions!$J$5:$J$5004,0))&amp;"")</f>
        <v/>
      </c>
      <c r="C64" s="63" t="str">
        <f aca="false">IF(LARGE(Transactions!$J$5:$J$5004,5)=0,"",INDEX(Transactions!$A$5:$A$5004,MATCH(LARGE(Transactions!$J$5:$J$5004,5),Transactions!$J$5:$J$5004,0)))</f>
        <v/>
      </c>
      <c r="D64" s="52" t="str">
        <f aca="false">IF(LARGE(Transactions!$J$5:$J$5004,5)=0,"",INDEX(Transactions!$E$5:$E$5004,MATCH(LARGE(Transactions!$J$5:$J$5004,5),Transactions!$J$5:$J$5004,0)))</f>
        <v/>
      </c>
      <c r="E64" s="29" t="str">
        <f aca="false">IF(LARGE(Transactions!$J$5:$J$5004,5)=0,"",INDEX(Transactions!$D$5:$D$5004,MATCH(LARGE(Transactions!$J$5:$J$5004,5),Transactions!$J$5:$J$5004,0))&amp;"")</f>
        <v/>
      </c>
      <c r="F64" s="29"/>
      <c r="G64" s="50" t="str">
        <f aca="false">IF(LARGE(Transactions!$J$5:$J$5004,5)=0,"",INDEX(Transactions!$F$5:$F$5004,MATCH(LARGE(Transactions!$J$5:$J$5004,5),Transactions!$J$5:$J$5004,0))&amp;"")</f>
        <v/>
      </c>
      <c r="H64" s="1"/>
      <c r="I64" s="1"/>
      <c r="J64" s="1"/>
      <c r="K64" s="1"/>
      <c r="L64" s="1"/>
      <c r="M64" s="1"/>
      <c r="N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21.75" hidden="false" customHeight="true" outlineLevel="0" collapsed="false">
      <c r="A67" s="1"/>
      <c r="B67" s="4" t="s">
        <v>120</v>
      </c>
      <c r="C67" s="4"/>
      <c r="D67" s="4"/>
      <c r="E67" s="4"/>
      <c r="F67" s="4"/>
      <c r="G67" s="1"/>
      <c r="H67" s="1"/>
      <c r="I67" s="1"/>
      <c r="J67" s="1"/>
      <c r="K67" s="1"/>
      <c r="L67" s="1"/>
      <c r="M67" s="1"/>
      <c r="N67" s="1"/>
    </row>
    <row r="68" customFormat="false" ht="21.75" hidden="false" customHeight="true" outlineLevel="0" collapsed="false">
      <c r="A68" s="1"/>
      <c r="B68" s="22" t="s">
        <v>37</v>
      </c>
      <c r="C68" s="22" t="s">
        <v>121</v>
      </c>
      <c r="D68" s="22" t="s">
        <v>90</v>
      </c>
      <c r="E68" s="22" t="s">
        <v>122</v>
      </c>
      <c r="F68" s="22" t="s">
        <v>91</v>
      </c>
      <c r="G68" s="1"/>
      <c r="H68" s="1"/>
      <c r="I68" s="1"/>
      <c r="J68" s="1"/>
      <c r="K68" s="1"/>
      <c r="L68" s="1"/>
      <c r="M68" s="1"/>
      <c r="N68" s="1"/>
    </row>
    <row r="69" customFormat="false" ht="15" hidden="false" customHeight="false" outlineLevel="0" collapsed="false">
      <c r="A69" s="64" t="n">
        <f aca="false">IF(B69="","",DAY(B69))</f>
        <v>1</v>
      </c>
      <c r="B69" s="65" t="n">
        <f aca="false">IF(1&gt;DaysInMonth,"",PeriodStart+0)</f>
        <v>46296</v>
      </c>
      <c r="C69" s="66" t="str">
        <f aca="false">IF(B69="","",TEXT(B69,"dddd"))</f>
        <v>Thursday</v>
      </c>
      <c r="D69" s="52" t="n">
        <f aca="false">IF(B69="","",SUMIFS(Transactions!$E$5:$E$5004,Transactions!$A$5:$A$5004,B69))</f>
        <v>0</v>
      </c>
      <c r="E69" s="67" t="n">
        <f aca="false">IF(B69="","",IF($C$13=0,0,$C$13/DaysInMonth))</f>
        <v>0</v>
      </c>
      <c r="F69" s="50" t="str">
        <f aca="true">IF(B69="","",IF(B69&gt;TODAY(),"-",IF(E69=0,IF(D69&gt;0,"No budget","-"),IF(D69&gt;E69,"OVER",IF(D69=0,"No spend","OK")))))</f>
        <v>-</v>
      </c>
      <c r="G69" s="1"/>
      <c r="H69" s="1"/>
      <c r="I69" s="1"/>
      <c r="J69" s="1"/>
      <c r="K69" s="1"/>
      <c r="L69" s="1"/>
      <c r="M69" s="1"/>
      <c r="N69" s="1"/>
    </row>
    <row r="70" customFormat="false" ht="15" hidden="false" customHeight="false" outlineLevel="0" collapsed="false">
      <c r="A70" s="64" t="n">
        <f aca="false">IF(B70="","",DAY(B70))</f>
        <v>2</v>
      </c>
      <c r="B70" s="65" t="n">
        <f aca="false">IF(2&gt;DaysInMonth,"",PeriodStart+1)</f>
        <v>46297</v>
      </c>
      <c r="C70" s="66" t="str">
        <f aca="false">IF(B70="","",TEXT(B70,"dddd"))</f>
        <v>Friday</v>
      </c>
      <c r="D70" s="52" t="n">
        <f aca="false">IF(B70="","",SUMIFS(Transactions!$E$5:$E$5004,Transactions!$A$5:$A$5004,B70))</f>
        <v>0</v>
      </c>
      <c r="E70" s="67" t="n">
        <f aca="false">IF(B70="","",IF($C$13=0,0,$C$13/DaysInMonth))</f>
        <v>0</v>
      </c>
      <c r="F70" s="50" t="str">
        <f aca="true">IF(B70="","",IF(B70&gt;TODAY(),"-",IF(E70=0,IF(D70&gt;0,"No budget","-"),IF(D70&gt;E70,"OVER",IF(D70=0,"No spend","OK")))))</f>
        <v>-</v>
      </c>
      <c r="G70" s="1"/>
      <c r="H70" s="1"/>
      <c r="I70" s="1"/>
      <c r="J70" s="1"/>
      <c r="K70" s="1"/>
      <c r="L70" s="1"/>
      <c r="M70" s="1"/>
      <c r="N70" s="1"/>
    </row>
    <row r="71" customFormat="false" ht="15" hidden="false" customHeight="false" outlineLevel="0" collapsed="false">
      <c r="A71" s="64" t="n">
        <f aca="false">IF(B71="","",DAY(B71))</f>
        <v>3</v>
      </c>
      <c r="B71" s="65" t="n">
        <f aca="false">IF(3&gt;DaysInMonth,"",PeriodStart+2)</f>
        <v>46298</v>
      </c>
      <c r="C71" s="66" t="str">
        <f aca="false">IF(B71="","",TEXT(B71,"dddd"))</f>
        <v>Saturday</v>
      </c>
      <c r="D71" s="52" t="n">
        <f aca="false">IF(B71="","",SUMIFS(Transactions!$E$5:$E$5004,Transactions!$A$5:$A$5004,B71))</f>
        <v>0</v>
      </c>
      <c r="E71" s="67" t="n">
        <f aca="false">IF(B71="","",IF($C$13=0,0,$C$13/DaysInMonth))</f>
        <v>0</v>
      </c>
      <c r="F71" s="50" t="str">
        <f aca="true">IF(B71="","",IF(B71&gt;TODAY(),"-",IF(E71=0,IF(D71&gt;0,"No budget","-"),IF(D71&gt;E71,"OVER",IF(D71=0,"No spend","OK")))))</f>
        <v>-</v>
      </c>
      <c r="G71" s="1"/>
      <c r="H71" s="1"/>
      <c r="I71" s="1"/>
      <c r="J71" s="1"/>
      <c r="K71" s="1"/>
      <c r="L71" s="1"/>
      <c r="M71" s="1"/>
      <c r="N71" s="1"/>
    </row>
    <row r="72" customFormat="false" ht="15" hidden="false" customHeight="false" outlineLevel="0" collapsed="false">
      <c r="A72" s="64" t="n">
        <f aca="false">IF(B72="","",DAY(B72))</f>
        <v>4</v>
      </c>
      <c r="B72" s="65" t="n">
        <f aca="false">IF(4&gt;DaysInMonth,"",PeriodStart+3)</f>
        <v>46299</v>
      </c>
      <c r="C72" s="66" t="str">
        <f aca="false">IF(B72="","",TEXT(B72,"dddd"))</f>
        <v>Sunday</v>
      </c>
      <c r="D72" s="52" t="n">
        <f aca="false">IF(B72="","",SUMIFS(Transactions!$E$5:$E$5004,Transactions!$A$5:$A$5004,B72))</f>
        <v>0</v>
      </c>
      <c r="E72" s="67" t="n">
        <f aca="false">IF(B72="","",IF($C$13=0,0,$C$13/DaysInMonth))</f>
        <v>0</v>
      </c>
      <c r="F72" s="50" t="str">
        <f aca="true">IF(B72="","",IF(B72&gt;TODAY(),"-",IF(E72=0,IF(D72&gt;0,"No budget","-"),IF(D72&gt;E72,"OVER",IF(D72=0,"No spend","OK")))))</f>
        <v>-</v>
      </c>
      <c r="G72" s="1"/>
      <c r="H72" s="1"/>
      <c r="I72" s="1"/>
      <c r="J72" s="1"/>
      <c r="K72" s="1"/>
      <c r="L72" s="1"/>
      <c r="M72" s="1"/>
      <c r="N72" s="1"/>
    </row>
    <row r="73" customFormat="false" ht="15" hidden="false" customHeight="false" outlineLevel="0" collapsed="false">
      <c r="A73" s="64" t="n">
        <f aca="false">IF(B73="","",DAY(B73))</f>
        <v>5</v>
      </c>
      <c r="B73" s="65" t="n">
        <f aca="false">IF(5&gt;DaysInMonth,"",PeriodStart+4)</f>
        <v>46300</v>
      </c>
      <c r="C73" s="66" t="str">
        <f aca="false">IF(B73="","",TEXT(B73,"dddd"))</f>
        <v>Monday</v>
      </c>
      <c r="D73" s="52" t="n">
        <f aca="false">IF(B73="","",SUMIFS(Transactions!$E$5:$E$5004,Transactions!$A$5:$A$5004,B73))</f>
        <v>0</v>
      </c>
      <c r="E73" s="67" t="n">
        <f aca="false">IF(B73="","",IF($C$13=0,0,$C$13/DaysInMonth))</f>
        <v>0</v>
      </c>
      <c r="F73" s="50" t="str">
        <f aca="true">IF(B73="","",IF(B73&gt;TODAY(),"-",IF(E73=0,IF(D73&gt;0,"No budget","-"),IF(D73&gt;E73,"OVER",IF(D73=0,"No spend","OK")))))</f>
        <v>-</v>
      </c>
      <c r="G73" s="1"/>
      <c r="H73" s="1"/>
      <c r="I73" s="1"/>
      <c r="J73" s="1"/>
      <c r="K73" s="1"/>
      <c r="L73" s="1"/>
      <c r="M73" s="1"/>
      <c r="N73" s="1"/>
    </row>
    <row r="74" customFormat="false" ht="15" hidden="false" customHeight="false" outlineLevel="0" collapsed="false">
      <c r="A74" s="64" t="n">
        <f aca="false">IF(B74="","",DAY(B74))</f>
        <v>6</v>
      </c>
      <c r="B74" s="65" t="n">
        <f aca="false">IF(6&gt;DaysInMonth,"",PeriodStart+5)</f>
        <v>46301</v>
      </c>
      <c r="C74" s="66" t="str">
        <f aca="false">IF(B74="","",TEXT(B74,"dddd"))</f>
        <v>Tuesday</v>
      </c>
      <c r="D74" s="52" t="n">
        <f aca="false">IF(B74="","",SUMIFS(Transactions!$E$5:$E$5004,Transactions!$A$5:$A$5004,B74))</f>
        <v>0</v>
      </c>
      <c r="E74" s="67" t="n">
        <f aca="false">IF(B74="","",IF($C$13=0,0,$C$13/DaysInMonth))</f>
        <v>0</v>
      </c>
      <c r="F74" s="50" t="str">
        <f aca="true">IF(B74="","",IF(B74&gt;TODAY(),"-",IF(E74=0,IF(D74&gt;0,"No budget","-"),IF(D74&gt;E74,"OVER",IF(D74=0,"No spend","OK")))))</f>
        <v>-</v>
      </c>
      <c r="G74" s="1"/>
      <c r="H74" s="1"/>
      <c r="I74" s="1"/>
      <c r="J74" s="1"/>
      <c r="K74" s="1"/>
      <c r="L74" s="1"/>
      <c r="M74" s="1"/>
      <c r="N74" s="1"/>
    </row>
    <row r="75" customFormat="false" ht="15" hidden="false" customHeight="false" outlineLevel="0" collapsed="false">
      <c r="A75" s="64" t="n">
        <f aca="false">IF(B75="","",DAY(B75))</f>
        <v>7</v>
      </c>
      <c r="B75" s="65" t="n">
        <f aca="false">IF(7&gt;DaysInMonth,"",PeriodStart+6)</f>
        <v>46302</v>
      </c>
      <c r="C75" s="66" t="str">
        <f aca="false">IF(B75="","",TEXT(B75,"dddd"))</f>
        <v>Wednesday</v>
      </c>
      <c r="D75" s="52" t="n">
        <f aca="false">IF(B75="","",SUMIFS(Transactions!$E$5:$E$5004,Transactions!$A$5:$A$5004,B75))</f>
        <v>0</v>
      </c>
      <c r="E75" s="67" t="n">
        <f aca="false">IF(B75="","",IF($C$13=0,0,$C$13/DaysInMonth))</f>
        <v>0</v>
      </c>
      <c r="F75" s="50" t="str">
        <f aca="true">IF(B75="","",IF(B75&gt;TODAY(),"-",IF(E75=0,IF(D75&gt;0,"No budget","-"),IF(D75&gt;E75,"OVER",IF(D75=0,"No spend","OK")))))</f>
        <v>-</v>
      </c>
      <c r="G75" s="1"/>
      <c r="H75" s="1"/>
      <c r="I75" s="1"/>
      <c r="J75" s="1"/>
      <c r="K75" s="1"/>
      <c r="L75" s="1"/>
      <c r="M75" s="1"/>
      <c r="N75" s="1"/>
    </row>
    <row r="76" customFormat="false" ht="15" hidden="false" customHeight="false" outlineLevel="0" collapsed="false">
      <c r="A76" s="64" t="n">
        <f aca="false">IF(B76="","",DAY(B76))</f>
        <v>8</v>
      </c>
      <c r="B76" s="65" t="n">
        <f aca="false">IF(8&gt;DaysInMonth,"",PeriodStart+7)</f>
        <v>46303</v>
      </c>
      <c r="C76" s="66" t="str">
        <f aca="false">IF(B76="","",TEXT(B76,"dddd"))</f>
        <v>Thursday</v>
      </c>
      <c r="D76" s="52" t="n">
        <f aca="false">IF(B76="","",SUMIFS(Transactions!$E$5:$E$5004,Transactions!$A$5:$A$5004,B76))</f>
        <v>0</v>
      </c>
      <c r="E76" s="67" t="n">
        <f aca="false">IF(B76="","",IF($C$13=0,0,$C$13/DaysInMonth))</f>
        <v>0</v>
      </c>
      <c r="F76" s="50" t="str">
        <f aca="true">IF(B76="","",IF(B76&gt;TODAY(),"-",IF(E76=0,IF(D76&gt;0,"No budget","-"),IF(D76&gt;E76,"OVER",IF(D76=0,"No spend","OK")))))</f>
        <v>-</v>
      </c>
      <c r="G76" s="1"/>
      <c r="H76" s="1"/>
      <c r="I76" s="1"/>
      <c r="J76" s="1"/>
      <c r="K76" s="1"/>
      <c r="L76" s="1"/>
      <c r="M76" s="1"/>
      <c r="N76" s="1"/>
    </row>
    <row r="77" customFormat="false" ht="15" hidden="false" customHeight="false" outlineLevel="0" collapsed="false">
      <c r="A77" s="64" t="n">
        <f aca="false">IF(B77="","",DAY(B77))</f>
        <v>9</v>
      </c>
      <c r="B77" s="65" t="n">
        <f aca="false">IF(9&gt;DaysInMonth,"",PeriodStart+8)</f>
        <v>46304</v>
      </c>
      <c r="C77" s="66" t="str">
        <f aca="false">IF(B77="","",TEXT(B77,"dddd"))</f>
        <v>Friday</v>
      </c>
      <c r="D77" s="52" t="n">
        <f aca="false">IF(B77="","",SUMIFS(Transactions!$E$5:$E$5004,Transactions!$A$5:$A$5004,B77))</f>
        <v>0</v>
      </c>
      <c r="E77" s="67" t="n">
        <f aca="false">IF(B77="","",IF($C$13=0,0,$C$13/DaysInMonth))</f>
        <v>0</v>
      </c>
      <c r="F77" s="50" t="str">
        <f aca="true">IF(B77="","",IF(B77&gt;TODAY(),"-",IF(E77=0,IF(D77&gt;0,"No budget","-"),IF(D77&gt;E77,"OVER",IF(D77=0,"No spend","OK")))))</f>
        <v>-</v>
      </c>
      <c r="G77" s="1"/>
      <c r="H77" s="1"/>
      <c r="I77" s="1"/>
      <c r="J77" s="1"/>
      <c r="K77" s="1"/>
      <c r="L77" s="1"/>
      <c r="M77" s="1"/>
      <c r="N77" s="1"/>
    </row>
    <row r="78" customFormat="false" ht="15" hidden="false" customHeight="false" outlineLevel="0" collapsed="false">
      <c r="A78" s="64" t="n">
        <f aca="false">IF(B78="","",DAY(B78))</f>
        <v>10</v>
      </c>
      <c r="B78" s="65" t="n">
        <f aca="false">IF(10&gt;DaysInMonth,"",PeriodStart+9)</f>
        <v>46305</v>
      </c>
      <c r="C78" s="66" t="str">
        <f aca="false">IF(B78="","",TEXT(B78,"dddd"))</f>
        <v>Saturday</v>
      </c>
      <c r="D78" s="52" t="n">
        <f aca="false">IF(B78="","",SUMIFS(Transactions!$E$5:$E$5004,Transactions!$A$5:$A$5004,B78))</f>
        <v>0</v>
      </c>
      <c r="E78" s="67" t="n">
        <f aca="false">IF(B78="","",IF($C$13=0,0,$C$13/DaysInMonth))</f>
        <v>0</v>
      </c>
      <c r="F78" s="50" t="str">
        <f aca="true">IF(B78="","",IF(B78&gt;TODAY(),"-",IF(E78=0,IF(D78&gt;0,"No budget","-"),IF(D78&gt;E78,"OVER",IF(D78=0,"No spend","OK")))))</f>
        <v>-</v>
      </c>
      <c r="G78" s="1"/>
      <c r="H78" s="1"/>
      <c r="I78" s="1"/>
      <c r="J78" s="1"/>
      <c r="K78" s="1"/>
      <c r="L78" s="1"/>
      <c r="M78" s="1"/>
      <c r="N78" s="1"/>
    </row>
    <row r="79" customFormat="false" ht="15" hidden="false" customHeight="false" outlineLevel="0" collapsed="false">
      <c r="A79" s="64" t="n">
        <f aca="false">IF(B79="","",DAY(B79))</f>
        <v>11</v>
      </c>
      <c r="B79" s="65" t="n">
        <f aca="false">IF(11&gt;DaysInMonth,"",PeriodStart+10)</f>
        <v>46306</v>
      </c>
      <c r="C79" s="66" t="str">
        <f aca="false">IF(B79="","",TEXT(B79,"dddd"))</f>
        <v>Sunday</v>
      </c>
      <c r="D79" s="52" t="n">
        <f aca="false">IF(B79="","",SUMIFS(Transactions!$E$5:$E$5004,Transactions!$A$5:$A$5004,B79))</f>
        <v>0</v>
      </c>
      <c r="E79" s="67" t="n">
        <f aca="false">IF(B79="","",IF($C$13=0,0,$C$13/DaysInMonth))</f>
        <v>0</v>
      </c>
      <c r="F79" s="50" t="str">
        <f aca="true">IF(B79="","",IF(B79&gt;TODAY(),"-",IF(E79=0,IF(D79&gt;0,"No budget","-"),IF(D79&gt;E79,"OVER",IF(D79=0,"No spend","OK")))))</f>
        <v>-</v>
      </c>
      <c r="G79" s="1"/>
      <c r="H79" s="1"/>
      <c r="I79" s="1"/>
      <c r="J79" s="1"/>
      <c r="K79" s="1"/>
      <c r="L79" s="1"/>
      <c r="M79" s="1"/>
      <c r="N79" s="1"/>
    </row>
    <row r="80" customFormat="false" ht="15" hidden="false" customHeight="false" outlineLevel="0" collapsed="false">
      <c r="A80" s="64" t="n">
        <f aca="false">IF(B80="","",DAY(B80))</f>
        <v>12</v>
      </c>
      <c r="B80" s="65" t="n">
        <f aca="false">IF(12&gt;DaysInMonth,"",PeriodStart+11)</f>
        <v>46307</v>
      </c>
      <c r="C80" s="66" t="str">
        <f aca="false">IF(B80="","",TEXT(B80,"dddd"))</f>
        <v>Monday</v>
      </c>
      <c r="D80" s="52" t="n">
        <f aca="false">IF(B80="","",SUMIFS(Transactions!$E$5:$E$5004,Transactions!$A$5:$A$5004,B80))</f>
        <v>0</v>
      </c>
      <c r="E80" s="67" t="n">
        <f aca="false">IF(B80="","",IF($C$13=0,0,$C$13/DaysInMonth))</f>
        <v>0</v>
      </c>
      <c r="F80" s="50" t="str">
        <f aca="true">IF(B80="","",IF(B80&gt;TODAY(),"-",IF(E80=0,IF(D80&gt;0,"No budget","-"),IF(D80&gt;E80,"OVER",IF(D80=0,"No spend","OK")))))</f>
        <v>-</v>
      </c>
      <c r="G80" s="1"/>
      <c r="H80" s="1"/>
      <c r="I80" s="1"/>
      <c r="J80" s="1"/>
      <c r="K80" s="1"/>
      <c r="L80" s="1"/>
      <c r="M80" s="1"/>
      <c r="N80" s="1"/>
    </row>
    <row r="81" customFormat="false" ht="15" hidden="false" customHeight="false" outlineLevel="0" collapsed="false">
      <c r="A81" s="64" t="n">
        <f aca="false">IF(B81="","",DAY(B81))</f>
        <v>13</v>
      </c>
      <c r="B81" s="65" t="n">
        <f aca="false">IF(13&gt;DaysInMonth,"",PeriodStart+12)</f>
        <v>46308</v>
      </c>
      <c r="C81" s="66" t="str">
        <f aca="false">IF(B81="","",TEXT(B81,"dddd"))</f>
        <v>Tuesday</v>
      </c>
      <c r="D81" s="52" t="n">
        <f aca="false">IF(B81="","",SUMIFS(Transactions!$E$5:$E$5004,Transactions!$A$5:$A$5004,B81))</f>
        <v>0</v>
      </c>
      <c r="E81" s="67" t="n">
        <f aca="false">IF(B81="","",IF($C$13=0,0,$C$13/DaysInMonth))</f>
        <v>0</v>
      </c>
      <c r="F81" s="50" t="str">
        <f aca="true">IF(B81="","",IF(B81&gt;TODAY(),"-",IF(E81=0,IF(D81&gt;0,"No budget","-"),IF(D81&gt;E81,"OVER",IF(D81=0,"No spend","OK")))))</f>
        <v>-</v>
      </c>
      <c r="G81" s="1"/>
      <c r="H81" s="1"/>
      <c r="I81" s="1"/>
      <c r="J81" s="1"/>
      <c r="K81" s="1"/>
      <c r="L81" s="1"/>
      <c r="M81" s="1"/>
      <c r="N81" s="1"/>
    </row>
    <row r="82" customFormat="false" ht="15" hidden="false" customHeight="false" outlineLevel="0" collapsed="false">
      <c r="A82" s="64" t="n">
        <f aca="false">IF(B82="","",DAY(B82))</f>
        <v>14</v>
      </c>
      <c r="B82" s="65" t="n">
        <f aca="false">IF(14&gt;DaysInMonth,"",PeriodStart+13)</f>
        <v>46309</v>
      </c>
      <c r="C82" s="66" t="str">
        <f aca="false">IF(B82="","",TEXT(B82,"dddd"))</f>
        <v>Wednesday</v>
      </c>
      <c r="D82" s="52" t="n">
        <f aca="false">IF(B82="","",SUMIFS(Transactions!$E$5:$E$5004,Transactions!$A$5:$A$5004,B82))</f>
        <v>0</v>
      </c>
      <c r="E82" s="67" t="n">
        <f aca="false">IF(B82="","",IF($C$13=0,0,$C$13/DaysInMonth))</f>
        <v>0</v>
      </c>
      <c r="F82" s="50" t="str">
        <f aca="true">IF(B82="","",IF(B82&gt;TODAY(),"-",IF(E82=0,IF(D82&gt;0,"No budget","-"),IF(D82&gt;E82,"OVER",IF(D82=0,"No spend","OK")))))</f>
        <v>-</v>
      </c>
      <c r="G82" s="1"/>
      <c r="H82" s="1"/>
      <c r="I82" s="1"/>
      <c r="J82" s="1"/>
      <c r="K82" s="1"/>
      <c r="L82" s="1"/>
      <c r="M82" s="1"/>
      <c r="N82" s="1"/>
    </row>
    <row r="83" customFormat="false" ht="15" hidden="false" customHeight="false" outlineLevel="0" collapsed="false">
      <c r="A83" s="64" t="n">
        <f aca="false">IF(B83="","",DAY(B83))</f>
        <v>15</v>
      </c>
      <c r="B83" s="65" t="n">
        <f aca="false">IF(15&gt;DaysInMonth,"",PeriodStart+14)</f>
        <v>46310</v>
      </c>
      <c r="C83" s="66" t="str">
        <f aca="false">IF(B83="","",TEXT(B83,"dddd"))</f>
        <v>Thursday</v>
      </c>
      <c r="D83" s="52" t="n">
        <f aca="false">IF(B83="","",SUMIFS(Transactions!$E$5:$E$5004,Transactions!$A$5:$A$5004,B83))</f>
        <v>0</v>
      </c>
      <c r="E83" s="67" t="n">
        <f aca="false">IF(B83="","",IF($C$13=0,0,$C$13/DaysInMonth))</f>
        <v>0</v>
      </c>
      <c r="F83" s="50" t="str">
        <f aca="true">IF(B83="","",IF(B83&gt;TODAY(),"-",IF(E83=0,IF(D83&gt;0,"No budget","-"),IF(D83&gt;E83,"OVER",IF(D83=0,"No spend","OK")))))</f>
        <v>-</v>
      </c>
      <c r="G83" s="1"/>
      <c r="H83" s="1"/>
      <c r="I83" s="1"/>
      <c r="J83" s="1"/>
      <c r="K83" s="1"/>
      <c r="L83" s="1"/>
      <c r="M83" s="1"/>
      <c r="N83" s="1"/>
    </row>
    <row r="84" customFormat="false" ht="15" hidden="false" customHeight="false" outlineLevel="0" collapsed="false">
      <c r="A84" s="64" t="n">
        <f aca="false">IF(B84="","",DAY(B84))</f>
        <v>16</v>
      </c>
      <c r="B84" s="65" t="n">
        <f aca="false">IF(16&gt;DaysInMonth,"",PeriodStart+15)</f>
        <v>46311</v>
      </c>
      <c r="C84" s="66" t="str">
        <f aca="false">IF(B84="","",TEXT(B84,"dddd"))</f>
        <v>Friday</v>
      </c>
      <c r="D84" s="52" t="n">
        <f aca="false">IF(B84="","",SUMIFS(Transactions!$E$5:$E$5004,Transactions!$A$5:$A$5004,B84))</f>
        <v>0</v>
      </c>
      <c r="E84" s="67" t="n">
        <f aca="false">IF(B84="","",IF($C$13=0,0,$C$13/DaysInMonth))</f>
        <v>0</v>
      </c>
      <c r="F84" s="50" t="str">
        <f aca="true">IF(B84="","",IF(B84&gt;TODAY(),"-",IF(E84=0,IF(D84&gt;0,"No budget","-"),IF(D84&gt;E84,"OVER",IF(D84=0,"No spend","OK")))))</f>
        <v>-</v>
      </c>
      <c r="G84" s="1"/>
      <c r="H84" s="1"/>
      <c r="I84" s="1"/>
      <c r="J84" s="1"/>
      <c r="K84" s="1"/>
      <c r="L84" s="1"/>
      <c r="M84" s="1"/>
      <c r="N84" s="1"/>
    </row>
    <row r="85" customFormat="false" ht="15" hidden="false" customHeight="false" outlineLevel="0" collapsed="false">
      <c r="A85" s="64" t="n">
        <f aca="false">IF(B85="","",DAY(B85))</f>
        <v>17</v>
      </c>
      <c r="B85" s="65" t="n">
        <f aca="false">IF(17&gt;DaysInMonth,"",PeriodStart+16)</f>
        <v>46312</v>
      </c>
      <c r="C85" s="66" t="str">
        <f aca="false">IF(B85="","",TEXT(B85,"dddd"))</f>
        <v>Saturday</v>
      </c>
      <c r="D85" s="52" t="n">
        <f aca="false">IF(B85="","",SUMIFS(Transactions!$E$5:$E$5004,Transactions!$A$5:$A$5004,B85))</f>
        <v>0</v>
      </c>
      <c r="E85" s="67" t="n">
        <f aca="false">IF(B85="","",IF($C$13=0,0,$C$13/DaysInMonth))</f>
        <v>0</v>
      </c>
      <c r="F85" s="50" t="str">
        <f aca="true">IF(B85="","",IF(B85&gt;TODAY(),"-",IF(E85=0,IF(D85&gt;0,"No budget","-"),IF(D85&gt;E85,"OVER",IF(D85=0,"No spend","OK")))))</f>
        <v>-</v>
      </c>
      <c r="G85" s="1"/>
      <c r="H85" s="1"/>
      <c r="I85" s="1"/>
      <c r="J85" s="1"/>
      <c r="K85" s="1"/>
      <c r="L85" s="1"/>
      <c r="M85" s="1"/>
      <c r="N85" s="1"/>
    </row>
    <row r="86" customFormat="false" ht="15" hidden="false" customHeight="false" outlineLevel="0" collapsed="false">
      <c r="A86" s="64" t="n">
        <f aca="false">IF(B86="","",DAY(B86))</f>
        <v>18</v>
      </c>
      <c r="B86" s="65" t="n">
        <f aca="false">IF(18&gt;DaysInMonth,"",PeriodStart+17)</f>
        <v>46313</v>
      </c>
      <c r="C86" s="66" t="str">
        <f aca="false">IF(B86="","",TEXT(B86,"dddd"))</f>
        <v>Sunday</v>
      </c>
      <c r="D86" s="52" t="n">
        <f aca="false">IF(B86="","",SUMIFS(Transactions!$E$5:$E$5004,Transactions!$A$5:$A$5004,B86))</f>
        <v>0</v>
      </c>
      <c r="E86" s="67" t="n">
        <f aca="false">IF(B86="","",IF($C$13=0,0,$C$13/DaysInMonth))</f>
        <v>0</v>
      </c>
      <c r="F86" s="50" t="str">
        <f aca="true">IF(B86="","",IF(B86&gt;TODAY(),"-",IF(E86=0,IF(D86&gt;0,"No budget","-"),IF(D86&gt;E86,"OVER",IF(D86=0,"No spend","OK")))))</f>
        <v>-</v>
      </c>
      <c r="G86" s="1"/>
      <c r="H86" s="1"/>
      <c r="I86" s="1"/>
      <c r="J86" s="1"/>
      <c r="K86" s="1"/>
      <c r="L86" s="1"/>
      <c r="M86" s="1"/>
      <c r="N86" s="1"/>
    </row>
    <row r="87" customFormat="false" ht="15" hidden="false" customHeight="false" outlineLevel="0" collapsed="false">
      <c r="A87" s="64" t="n">
        <f aca="false">IF(B87="","",DAY(B87))</f>
        <v>19</v>
      </c>
      <c r="B87" s="65" t="n">
        <f aca="false">IF(19&gt;DaysInMonth,"",PeriodStart+18)</f>
        <v>46314</v>
      </c>
      <c r="C87" s="66" t="str">
        <f aca="false">IF(B87="","",TEXT(B87,"dddd"))</f>
        <v>Monday</v>
      </c>
      <c r="D87" s="52" t="n">
        <f aca="false">IF(B87="","",SUMIFS(Transactions!$E$5:$E$5004,Transactions!$A$5:$A$5004,B87))</f>
        <v>0</v>
      </c>
      <c r="E87" s="67" t="n">
        <f aca="false">IF(B87="","",IF($C$13=0,0,$C$13/DaysInMonth))</f>
        <v>0</v>
      </c>
      <c r="F87" s="50" t="str">
        <f aca="true">IF(B87="","",IF(B87&gt;TODAY(),"-",IF(E87=0,IF(D87&gt;0,"No budget","-"),IF(D87&gt;E87,"OVER",IF(D87=0,"No spend","OK")))))</f>
        <v>-</v>
      </c>
      <c r="G87" s="1"/>
      <c r="H87" s="1"/>
      <c r="I87" s="1"/>
      <c r="J87" s="1"/>
      <c r="K87" s="1"/>
      <c r="L87" s="1"/>
      <c r="M87" s="1"/>
      <c r="N87" s="1"/>
    </row>
    <row r="88" customFormat="false" ht="15" hidden="false" customHeight="false" outlineLevel="0" collapsed="false">
      <c r="A88" s="64" t="n">
        <f aca="false">IF(B88="","",DAY(B88))</f>
        <v>20</v>
      </c>
      <c r="B88" s="65" t="n">
        <f aca="false">IF(20&gt;DaysInMonth,"",PeriodStart+19)</f>
        <v>46315</v>
      </c>
      <c r="C88" s="66" t="str">
        <f aca="false">IF(B88="","",TEXT(B88,"dddd"))</f>
        <v>Tuesday</v>
      </c>
      <c r="D88" s="52" t="n">
        <f aca="false">IF(B88="","",SUMIFS(Transactions!$E$5:$E$5004,Transactions!$A$5:$A$5004,B88))</f>
        <v>0</v>
      </c>
      <c r="E88" s="67" t="n">
        <f aca="false">IF(B88="","",IF($C$13=0,0,$C$13/DaysInMonth))</f>
        <v>0</v>
      </c>
      <c r="F88" s="50" t="str">
        <f aca="true">IF(B88="","",IF(B88&gt;TODAY(),"-",IF(E88=0,IF(D88&gt;0,"No budget","-"),IF(D88&gt;E88,"OVER",IF(D88=0,"No spend","OK")))))</f>
        <v>-</v>
      </c>
      <c r="G88" s="1"/>
      <c r="H88" s="1"/>
      <c r="I88" s="1"/>
      <c r="J88" s="1"/>
      <c r="K88" s="1"/>
      <c r="L88" s="1"/>
      <c r="M88" s="1"/>
      <c r="N88" s="1"/>
    </row>
    <row r="89" customFormat="false" ht="15" hidden="false" customHeight="false" outlineLevel="0" collapsed="false">
      <c r="A89" s="64" t="n">
        <f aca="false">IF(B89="","",DAY(B89))</f>
        <v>21</v>
      </c>
      <c r="B89" s="65" t="n">
        <f aca="false">IF(21&gt;DaysInMonth,"",PeriodStart+20)</f>
        <v>46316</v>
      </c>
      <c r="C89" s="66" t="str">
        <f aca="false">IF(B89="","",TEXT(B89,"dddd"))</f>
        <v>Wednesday</v>
      </c>
      <c r="D89" s="52" t="n">
        <f aca="false">IF(B89="","",SUMIFS(Transactions!$E$5:$E$5004,Transactions!$A$5:$A$5004,B89))</f>
        <v>0</v>
      </c>
      <c r="E89" s="67" t="n">
        <f aca="false">IF(B89="","",IF($C$13=0,0,$C$13/DaysInMonth))</f>
        <v>0</v>
      </c>
      <c r="F89" s="50" t="str">
        <f aca="true">IF(B89="","",IF(B89&gt;TODAY(),"-",IF(E89=0,IF(D89&gt;0,"No budget","-"),IF(D89&gt;E89,"OVER",IF(D89=0,"No spend","OK")))))</f>
        <v>-</v>
      </c>
      <c r="G89" s="1"/>
      <c r="H89" s="1"/>
      <c r="I89" s="1"/>
      <c r="J89" s="1"/>
      <c r="K89" s="1"/>
      <c r="L89" s="1"/>
      <c r="M89" s="1"/>
      <c r="N89" s="1"/>
    </row>
    <row r="90" customFormat="false" ht="15" hidden="false" customHeight="false" outlineLevel="0" collapsed="false">
      <c r="A90" s="64" t="n">
        <f aca="false">IF(B90="","",DAY(B90))</f>
        <v>22</v>
      </c>
      <c r="B90" s="65" t="n">
        <f aca="false">IF(22&gt;DaysInMonth,"",PeriodStart+21)</f>
        <v>46317</v>
      </c>
      <c r="C90" s="66" t="str">
        <f aca="false">IF(B90="","",TEXT(B90,"dddd"))</f>
        <v>Thursday</v>
      </c>
      <c r="D90" s="52" t="n">
        <f aca="false">IF(B90="","",SUMIFS(Transactions!$E$5:$E$5004,Transactions!$A$5:$A$5004,B90))</f>
        <v>0</v>
      </c>
      <c r="E90" s="67" t="n">
        <f aca="false">IF(B90="","",IF($C$13=0,0,$C$13/DaysInMonth))</f>
        <v>0</v>
      </c>
      <c r="F90" s="50" t="str">
        <f aca="true">IF(B90="","",IF(B90&gt;TODAY(),"-",IF(E90=0,IF(D90&gt;0,"No budget","-"),IF(D90&gt;E90,"OVER",IF(D90=0,"No spend","OK")))))</f>
        <v>-</v>
      </c>
      <c r="G90" s="1"/>
      <c r="H90" s="1"/>
      <c r="I90" s="1"/>
      <c r="J90" s="1"/>
      <c r="K90" s="1"/>
      <c r="L90" s="1"/>
      <c r="M90" s="1"/>
      <c r="N90" s="1"/>
    </row>
    <row r="91" customFormat="false" ht="15" hidden="false" customHeight="false" outlineLevel="0" collapsed="false">
      <c r="A91" s="64" t="n">
        <f aca="false">IF(B91="","",DAY(B91))</f>
        <v>23</v>
      </c>
      <c r="B91" s="65" t="n">
        <f aca="false">IF(23&gt;DaysInMonth,"",PeriodStart+22)</f>
        <v>46318</v>
      </c>
      <c r="C91" s="66" t="str">
        <f aca="false">IF(B91="","",TEXT(B91,"dddd"))</f>
        <v>Friday</v>
      </c>
      <c r="D91" s="52" t="n">
        <f aca="false">IF(B91="","",SUMIFS(Transactions!$E$5:$E$5004,Transactions!$A$5:$A$5004,B91))</f>
        <v>0</v>
      </c>
      <c r="E91" s="67" t="n">
        <f aca="false">IF(B91="","",IF($C$13=0,0,$C$13/DaysInMonth))</f>
        <v>0</v>
      </c>
      <c r="F91" s="50" t="str">
        <f aca="true">IF(B91="","",IF(B91&gt;TODAY(),"-",IF(E91=0,IF(D91&gt;0,"No budget","-"),IF(D91&gt;E91,"OVER",IF(D91=0,"No spend","OK")))))</f>
        <v>-</v>
      </c>
      <c r="G91" s="1"/>
      <c r="H91" s="1"/>
      <c r="I91" s="1"/>
      <c r="J91" s="1"/>
      <c r="K91" s="1"/>
      <c r="L91" s="1"/>
      <c r="M91" s="1"/>
      <c r="N91" s="1"/>
    </row>
    <row r="92" customFormat="false" ht="15" hidden="false" customHeight="false" outlineLevel="0" collapsed="false">
      <c r="A92" s="64" t="n">
        <f aca="false">IF(B92="","",DAY(B92))</f>
        <v>24</v>
      </c>
      <c r="B92" s="65" t="n">
        <f aca="false">IF(24&gt;DaysInMonth,"",PeriodStart+23)</f>
        <v>46319</v>
      </c>
      <c r="C92" s="66" t="str">
        <f aca="false">IF(B92="","",TEXT(B92,"dddd"))</f>
        <v>Saturday</v>
      </c>
      <c r="D92" s="52" t="n">
        <f aca="false">IF(B92="","",SUMIFS(Transactions!$E$5:$E$5004,Transactions!$A$5:$A$5004,B92))</f>
        <v>0</v>
      </c>
      <c r="E92" s="67" t="n">
        <f aca="false">IF(B92="","",IF($C$13=0,0,$C$13/DaysInMonth))</f>
        <v>0</v>
      </c>
      <c r="F92" s="50" t="str">
        <f aca="true">IF(B92="","",IF(B92&gt;TODAY(),"-",IF(E92=0,IF(D92&gt;0,"No budget","-"),IF(D92&gt;E92,"OVER",IF(D92=0,"No spend","OK")))))</f>
        <v>-</v>
      </c>
      <c r="G92" s="1"/>
      <c r="H92" s="1"/>
      <c r="I92" s="1"/>
      <c r="J92" s="1"/>
      <c r="K92" s="1"/>
      <c r="L92" s="1"/>
      <c r="M92" s="1"/>
      <c r="N92" s="1"/>
    </row>
    <row r="93" customFormat="false" ht="15" hidden="false" customHeight="false" outlineLevel="0" collapsed="false">
      <c r="A93" s="64" t="n">
        <f aca="false">IF(B93="","",DAY(B93))</f>
        <v>25</v>
      </c>
      <c r="B93" s="65" t="n">
        <f aca="false">IF(25&gt;DaysInMonth,"",PeriodStart+24)</f>
        <v>46320</v>
      </c>
      <c r="C93" s="66" t="str">
        <f aca="false">IF(B93="","",TEXT(B93,"dddd"))</f>
        <v>Sunday</v>
      </c>
      <c r="D93" s="52" t="n">
        <f aca="false">IF(B93="","",SUMIFS(Transactions!$E$5:$E$5004,Transactions!$A$5:$A$5004,B93))</f>
        <v>0</v>
      </c>
      <c r="E93" s="67" t="n">
        <f aca="false">IF(B93="","",IF($C$13=0,0,$C$13/DaysInMonth))</f>
        <v>0</v>
      </c>
      <c r="F93" s="50" t="str">
        <f aca="true">IF(B93="","",IF(B93&gt;TODAY(),"-",IF(E93=0,IF(D93&gt;0,"No budget","-"),IF(D93&gt;E93,"OVER",IF(D93=0,"No spend","OK")))))</f>
        <v>-</v>
      </c>
      <c r="G93" s="1"/>
      <c r="H93" s="1"/>
      <c r="I93" s="1"/>
      <c r="J93" s="1"/>
      <c r="K93" s="1"/>
      <c r="L93" s="1"/>
      <c r="M93" s="1"/>
      <c r="N93" s="1"/>
    </row>
    <row r="94" customFormat="false" ht="15" hidden="false" customHeight="false" outlineLevel="0" collapsed="false">
      <c r="A94" s="64" t="n">
        <f aca="false">IF(B94="","",DAY(B94))</f>
        <v>26</v>
      </c>
      <c r="B94" s="65" t="n">
        <f aca="false">IF(26&gt;DaysInMonth,"",PeriodStart+25)</f>
        <v>46321</v>
      </c>
      <c r="C94" s="66" t="str">
        <f aca="false">IF(B94="","",TEXT(B94,"dddd"))</f>
        <v>Monday</v>
      </c>
      <c r="D94" s="52" t="n">
        <f aca="false">IF(B94="","",SUMIFS(Transactions!$E$5:$E$5004,Transactions!$A$5:$A$5004,B94))</f>
        <v>0</v>
      </c>
      <c r="E94" s="67" t="n">
        <f aca="false">IF(B94="","",IF($C$13=0,0,$C$13/DaysInMonth))</f>
        <v>0</v>
      </c>
      <c r="F94" s="50" t="str">
        <f aca="true">IF(B94="","",IF(B94&gt;TODAY(),"-",IF(E94=0,IF(D94&gt;0,"No budget","-"),IF(D94&gt;E94,"OVER",IF(D94=0,"No spend","OK")))))</f>
        <v>-</v>
      </c>
      <c r="G94" s="1"/>
      <c r="H94" s="1"/>
      <c r="I94" s="1"/>
      <c r="J94" s="1"/>
      <c r="K94" s="1"/>
      <c r="L94" s="1"/>
      <c r="M94" s="1"/>
      <c r="N94" s="1"/>
    </row>
    <row r="95" customFormat="false" ht="15" hidden="false" customHeight="false" outlineLevel="0" collapsed="false">
      <c r="A95" s="64" t="n">
        <f aca="false">IF(B95="","",DAY(B95))</f>
        <v>27</v>
      </c>
      <c r="B95" s="65" t="n">
        <f aca="false">IF(27&gt;DaysInMonth,"",PeriodStart+26)</f>
        <v>46322</v>
      </c>
      <c r="C95" s="66" t="str">
        <f aca="false">IF(B95="","",TEXT(B95,"dddd"))</f>
        <v>Tuesday</v>
      </c>
      <c r="D95" s="52" t="n">
        <f aca="false">IF(B95="","",SUMIFS(Transactions!$E$5:$E$5004,Transactions!$A$5:$A$5004,B95))</f>
        <v>0</v>
      </c>
      <c r="E95" s="67" t="n">
        <f aca="false">IF(B95="","",IF($C$13=0,0,$C$13/DaysInMonth))</f>
        <v>0</v>
      </c>
      <c r="F95" s="50" t="str">
        <f aca="true">IF(B95="","",IF(B95&gt;TODAY(),"-",IF(E95=0,IF(D95&gt;0,"No budget","-"),IF(D95&gt;E95,"OVER",IF(D95=0,"No spend","OK")))))</f>
        <v>-</v>
      </c>
      <c r="G95" s="1"/>
      <c r="H95" s="1"/>
      <c r="I95" s="1"/>
      <c r="J95" s="1"/>
      <c r="K95" s="1"/>
      <c r="L95" s="1"/>
      <c r="M95" s="1"/>
      <c r="N95" s="1"/>
    </row>
    <row r="96" customFormat="false" ht="15" hidden="false" customHeight="false" outlineLevel="0" collapsed="false">
      <c r="A96" s="64" t="n">
        <f aca="false">IF(B96="","",DAY(B96))</f>
        <v>28</v>
      </c>
      <c r="B96" s="65" t="n">
        <f aca="false">IF(28&gt;DaysInMonth,"",PeriodStart+27)</f>
        <v>46323</v>
      </c>
      <c r="C96" s="66" t="str">
        <f aca="false">IF(B96="","",TEXT(B96,"dddd"))</f>
        <v>Wednesday</v>
      </c>
      <c r="D96" s="52" t="n">
        <f aca="false">IF(B96="","",SUMIFS(Transactions!$E$5:$E$5004,Transactions!$A$5:$A$5004,B96))</f>
        <v>0</v>
      </c>
      <c r="E96" s="67" t="n">
        <f aca="false">IF(B96="","",IF($C$13=0,0,$C$13/DaysInMonth))</f>
        <v>0</v>
      </c>
      <c r="F96" s="50" t="str">
        <f aca="true">IF(B96="","",IF(B96&gt;TODAY(),"-",IF(E96=0,IF(D96&gt;0,"No budget","-"),IF(D96&gt;E96,"OVER",IF(D96=0,"No spend","OK")))))</f>
        <v>-</v>
      </c>
      <c r="G96" s="1"/>
      <c r="H96" s="1"/>
      <c r="I96" s="1"/>
      <c r="J96" s="1"/>
      <c r="K96" s="1"/>
      <c r="L96" s="1"/>
      <c r="M96" s="1"/>
      <c r="N96" s="1"/>
    </row>
    <row r="97" customFormat="false" ht="15" hidden="false" customHeight="false" outlineLevel="0" collapsed="false">
      <c r="A97" s="64" t="n">
        <f aca="false">IF(B97="","",DAY(B97))</f>
        <v>29</v>
      </c>
      <c r="B97" s="65" t="n">
        <f aca="false">IF(29&gt;DaysInMonth,"",PeriodStart+28)</f>
        <v>46324</v>
      </c>
      <c r="C97" s="66" t="str">
        <f aca="false">IF(B97="","",TEXT(B97,"dddd"))</f>
        <v>Thursday</v>
      </c>
      <c r="D97" s="52" t="n">
        <f aca="false">IF(B97="","",SUMIFS(Transactions!$E$5:$E$5004,Transactions!$A$5:$A$5004,B97))</f>
        <v>0</v>
      </c>
      <c r="E97" s="67" t="n">
        <f aca="false">IF(B97="","",IF($C$13=0,0,$C$13/DaysInMonth))</f>
        <v>0</v>
      </c>
      <c r="F97" s="50" t="str">
        <f aca="true">IF(B97="","",IF(B97&gt;TODAY(),"-",IF(E97=0,IF(D97&gt;0,"No budget","-"),IF(D97&gt;E97,"OVER",IF(D97=0,"No spend","OK")))))</f>
        <v>-</v>
      </c>
      <c r="G97" s="1"/>
      <c r="H97" s="1"/>
      <c r="I97" s="1"/>
      <c r="J97" s="1"/>
      <c r="K97" s="1"/>
      <c r="L97" s="1"/>
      <c r="M97" s="1"/>
      <c r="N97" s="1"/>
    </row>
    <row r="98" customFormat="false" ht="15" hidden="false" customHeight="false" outlineLevel="0" collapsed="false">
      <c r="A98" s="64" t="n">
        <f aca="false">IF(B98="","",DAY(B98))</f>
        <v>30</v>
      </c>
      <c r="B98" s="65" t="n">
        <f aca="false">IF(30&gt;DaysInMonth,"",PeriodStart+29)</f>
        <v>46325</v>
      </c>
      <c r="C98" s="66" t="str">
        <f aca="false">IF(B98="","",TEXT(B98,"dddd"))</f>
        <v>Friday</v>
      </c>
      <c r="D98" s="52" t="n">
        <f aca="false">IF(B98="","",SUMIFS(Transactions!$E$5:$E$5004,Transactions!$A$5:$A$5004,B98))</f>
        <v>0</v>
      </c>
      <c r="E98" s="67" t="n">
        <f aca="false">IF(B98="","",IF($C$13=0,0,$C$13/DaysInMonth))</f>
        <v>0</v>
      </c>
      <c r="F98" s="50" t="str">
        <f aca="true">IF(B98="","",IF(B98&gt;TODAY(),"-",IF(E98=0,IF(D98&gt;0,"No budget","-"),IF(D98&gt;E98,"OVER",IF(D98=0,"No spend","OK")))))</f>
        <v>-</v>
      </c>
      <c r="G98" s="1"/>
      <c r="H98" s="1"/>
      <c r="I98" s="1"/>
      <c r="J98" s="1"/>
      <c r="K98" s="1"/>
      <c r="L98" s="1"/>
      <c r="M98" s="1"/>
      <c r="N98" s="1"/>
    </row>
    <row r="99" customFormat="false" ht="15" hidden="false" customHeight="false" outlineLevel="0" collapsed="false">
      <c r="A99" s="64" t="n">
        <f aca="false">IF(B99="","",DAY(B99))</f>
        <v>31</v>
      </c>
      <c r="B99" s="65" t="n">
        <f aca="false">IF(31&gt;DaysInMonth,"",PeriodStart+30)</f>
        <v>46326</v>
      </c>
      <c r="C99" s="66" t="str">
        <f aca="false">IF(B99="","",TEXT(B99,"dddd"))</f>
        <v>Saturday</v>
      </c>
      <c r="D99" s="52" t="n">
        <f aca="false">IF(B99="","",SUMIFS(Transactions!$E$5:$E$5004,Transactions!$A$5:$A$5004,B99))</f>
        <v>0</v>
      </c>
      <c r="E99" s="67" t="n">
        <f aca="false">IF(B99="","",IF($C$13=0,0,$C$13/DaysInMonth))</f>
        <v>0</v>
      </c>
      <c r="F99" s="50" t="str">
        <f aca="true">IF(B99="","",IF(B99&gt;TODAY(),"-",IF(E99=0,IF(D99&gt;0,"No budget","-"),IF(D99&gt;E99,"OVER",IF(D99=0,"No spend","OK")))))</f>
        <v>-</v>
      </c>
      <c r="G99" s="1"/>
      <c r="H99" s="1"/>
      <c r="I99" s="1"/>
      <c r="J99" s="1"/>
      <c r="K99" s="1"/>
      <c r="L99" s="1"/>
      <c r="M99" s="1"/>
      <c r="N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customFormat="false" ht="25.5" hidden="false" customHeight="true" outlineLevel="0" collapsed="false">
      <c r="A101" s="1"/>
      <c r="B101" s="57" t="s">
        <v>123</v>
      </c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</sheetData>
  <sheetProtection sheet="true"/>
  <mergeCells count="37">
    <mergeCell ref="B1:M1"/>
    <mergeCell ref="B2:M2"/>
    <mergeCell ref="F4:M4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B8:C8"/>
    <mergeCell ref="D8:E8"/>
    <mergeCell ref="F8:G8"/>
    <mergeCell ref="H8:I8"/>
    <mergeCell ref="J8:K8"/>
    <mergeCell ref="L8:M8"/>
    <mergeCell ref="B10:M10"/>
    <mergeCell ref="B12:C12"/>
    <mergeCell ref="E12:I12"/>
    <mergeCell ref="E21:I22"/>
    <mergeCell ref="B24:G24"/>
    <mergeCell ref="B45:D45"/>
    <mergeCell ref="F45:H45"/>
    <mergeCell ref="B58:G58"/>
    <mergeCell ref="E59:F59"/>
    <mergeCell ref="E60:F60"/>
    <mergeCell ref="E61:F61"/>
    <mergeCell ref="E62:F62"/>
    <mergeCell ref="E63:F63"/>
    <mergeCell ref="E64:F64"/>
    <mergeCell ref="B67:F67"/>
    <mergeCell ref="B101:M101"/>
  </mergeCells>
  <conditionalFormatting sqref="L7">
    <cfRule type="cellIs" priority="2" operator="equal" aboveAverage="0" equalAverage="0" bottom="0" percent="0" rank="0" text="" dxfId="0">
      <formula>"OVERSPENDING"</formula>
    </cfRule>
    <cfRule type="cellIs" priority="3" operator="equal" aboveAverage="0" equalAverage="0" bottom="0" percent="0" rank="0" text="" dxfId="1">
      <formula>"WATCH OUT"</formula>
    </cfRule>
    <cfRule type="cellIs" priority="4" operator="equal" aboveAverage="0" equalAverage="0" bottom="0" percent="0" rank="0" text="" dxfId="2">
      <formula>"ON TRACK"</formula>
    </cfRule>
  </conditionalFormatting>
  <conditionalFormatting sqref="B10:M10">
    <cfRule type="expression" priority="5" aboveAverage="0" equalAverage="0" bottom="0" percent="0" rank="0" text="" dxfId="3">
      <formula>LEFT($B$10,4)="OVER"</formula>
    </cfRule>
    <cfRule type="expression" priority="6" aboveAverage="0" equalAverage="0" bottom="0" percent="0" rank="0" text="" dxfId="4">
      <formula>LEFT($B$10,5)="HEADS"</formula>
    </cfRule>
    <cfRule type="expression" priority="7" aboveAverage="0" equalAverage="0" bottom="0" percent="0" rank="0" text="" dxfId="5">
      <formula>LEFT($B$10,2)="ON"</formula>
    </cfRule>
  </conditionalFormatting>
  <conditionalFormatting sqref="C17">
    <cfRule type="cellIs" priority="8" operator="greaterThan" aboveAverage="0" equalAverage="0" bottom="0" percent="0" rank="0" text="" dxfId="0">
      <formula>0</formula>
    </cfRule>
  </conditionalFormatting>
  <conditionalFormatting sqref="C19">
    <cfRule type="cellIs" priority="9" operator="greaterThan" aboveAverage="0" equalAverage="0" bottom="0" percent="0" rank="0" text="" dxfId="0">
      <formula>0</formula>
    </cfRule>
  </conditionalFormatting>
  <conditionalFormatting sqref="C22">
    <cfRule type="cellIs" priority="10" operator="greaterThan" aboveAverage="0" equalAverage="0" bottom="0" percent="0" rank="0" text="" dxfId="0">
      <formula>0</formula>
    </cfRule>
  </conditionalFormatting>
  <conditionalFormatting sqref="I14:I18">
    <cfRule type="cellIs" priority="11" operator="equal" aboveAverage="0" equalAverage="0" bottom="0" percent="0" rank="0" text="" dxfId="3">
      <formula>"OVER"</formula>
    </cfRule>
    <cfRule type="cellIs" priority="12" operator="equal" aboveAverage="0" equalAverage="0" bottom="0" percent="0" rank="0" text="" dxfId="3">
      <formula>"No budget"</formula>
    </cfRule>
    <cfRule type="cellIs" priority="13" operator="equal" aboveAverage="0" equalAverage="0" bottom="0" percent="0" rank="0" text="" dxfId="4">
      <formula>"Watch"</formula>
    </cfRule>
    <cfRule type="cellIs" priority="14" operator="equal" aboveAverage="0" equalAverage="0" bottom="0" percent="0" rank="0" text="" dxfId="5">
      <formula>"OK"</formula>
    </cfRule>
  </conditionalFormatting>
  <conditionalFormatting sqref="G26:G42">
    <cfRule type="cellIs" priority="15" operator="equal" aboveAverage="0" equalAverage="0" bottom="0" percent="0" rank="0" text="" dxfId="3">
      <formula>"OVER"</formula>
    </cfRule>
    <cfRule type="cellIs" priority="16" operator="equal" aboveAverage="0" equalAverage="0" bottom="0" percent="0" rank="0" text="" dxfId="3">
      <formula>"No budget"</formula>
    </cfRule>
    <cfRule type="cellIs" priority="17" operator="equal" aboveAverage="0" equalAverage="0" bottom="0" percent="0" rank="0" text="" dxfId="4">
      <formula>"Watch"</formula>
    </cfRule>
    <cfRule type="cellIs" priority="18" operator="equal" aboveAverage="0" equalAverage="0" bottom="0" percent="0" rank="0" text="" dxfId="5">
      <formula>"OK"</formula>
    </cfRule>
  </conditionalFormatting>
  <conditionalFormatting sqref="F26:F41">
    <cfRule type="dataBar" priority="19">
      <dataBar showValue="1" minLength="10" maxLength="90">
        <cfvo type="num" val="0"/>
        <cfvo type="num" val="1.2"/>
        <color rgb="FF5EB1A8"/>
      </dataBar>
      <extLst>
        <ext xmlns:x14="http://schemas.microsoft.com/office/spreadsheetml/2009/9/main" uri="{B025F937-C7B1-47D3-B67F-A62EFF666E3E}">
          <x14:id>{464A63F4-31BA-45F0-ADCD-EC3D86209973}</x14:id>
        </ext>
      </extLst>
    </cfRule>
  </conditionalFormatting>
  <conditionalFormatting sqref="F69:F99">
    <cfRule type="cellIs" priority="20" operator="equal" aboveAverage="0" equalAverage="0" bottom="0" percent="0" rank="0" text="" dxfId="3">
      <formula>"OVER"</formula>
    </cfRule>
    <cfRule type="cellIs" priority="21" operator="equal" aboveAverage="0" equalAverage="0" bottom="0" percent="0" rank="0" text="" dxfId="3">
      <formula>"No budget"</formula>
    </cfRule>
    <cfRule type="cellIs" priority="22" operator="equal" aboveAverage="0" equalAverage="0" bottom="0" percent="0" rank="0" text="" dxfId="4">
      <formula>"Watch"</formula>
    </cfRule>
    <cfRule type="cellIs" priority="23" operator="equal" aboveAverage="0" equalAverage="0" bottom="0" percent="0" rank="0" text="" dxfId="5">
      <formula>"OK"</formula>
    </cfRule>
  </conditionalFormatting>
  <dataValidations count="2">
    <dataValidation allowBlank="false" errorStyle="stop" operator="between" showDropDown="false" showErrorMessage="true" showInputMessage="false" sqref="C4" type="list">
      <formula1>Settings!$H$6:$H$17</formula1>
      <formula2>0</formula2>
    </dataValidation>
    <dataValidation allowBlank="false" errorStyle="stop" operator="between" showDropDown="false" showErrorMessage="true" showInputMessage="false" sqref="D4" type="list">
      <formula1>Settings!$G$6:$G$17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4A63F4-31BA-45F0-ADCD-EC3D86209973}">
            <x14:dataBar minLength="10" maxLength="90" axisPosition="none" gradient="true">
              <x14:cfvo type="num">
                <xm:f>0</xm:f>
              </x14:cfvo>
              <x14:cfvo type="num">
                <xm:f>1.2</xm:f>
              </x14:cfvo>
              <x14:negativeFillColor rgb="FF5EB1A8"/>
              <x14:axisColor rgb="FF000000"/>
            </x14:dataBar>
          </x14:cfRule>
          <xm:sqref>F26:F41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true"/>
  </sheetPr>
  <dimension ref="A1:J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34"/>
    <col collapsed="false" customWidth="true" hidden="true" outlineLevel="0" max="10" min="8" style="0" width="9"/>
  </cols>
  <sheetData>
    <row r="1" customFormat="false" ht="33.75" hidden="false" customHeight="true" outlineLevel="0" collapsed="false">
      <c r="A1" s="68" t="s">
        <v>124</v>
      </c>
      <c r="B1" s="68"/>
      <c r="C1" s="68"/>
      <c r="D1" s="68"/>
      <c r="E1" s="68"/>
      <c r="F1" s="68"/>
      <c r="G1" s="68"/>
    </row>
    <row r="2" customFormat="false" ht="30" hidden="false" customHeight="true" outlineLevel="0" collapsed="false">
      <c r="A2" s="69" t="s">
        <v>125</v>
      </c>
      <c r="B2" s="69"/>
      <c r="C2" s="69"/>
      <c r="D2" s="69"/>
      <c r="E2" s="69"/>
      <c r="F2" s="69"/>
      <c r="G2" s="69"/>
    </row>
    <row r="3" customFormat="false" ht="15" hidden="false" customHeight="false" outlineLevel="0" collapsed="false">
      <c r="A3" s="70" t="s">
        <v>126</v>
      </c>
      <c r="B3" s="71" t="n">
        <f aca="false">COUNT(E5:E5004)</f>
        <v>0</v>
      </c>
      <c r="C3" s="72" t="s">
        <v>127</v>
      </c>
      <c r="D3" s="73" t="n">
        <f aca="false">SUM(E5:E5004)</f>
        <v>0</v>
      </c>
    </row>
    <row r="4" customFormat="false" ht="25.5" hidden="false" customHeight="true" outlineLevel="0" collapsed="false">
      <c r="A4" s="22" t="s">
        <v>37</v>
      </c>
      <c r="B4" s="22" t="s">
        <v>36</v>
      </c>
      <c r="C4" s="22" t="s">
        <v>38</v>
      </c>
      <c r="D4" s="22" t="s">
        <v>39</v>
      </c>
      <c r="E4" s="22" t="s">
        <v>40</v>
      </c>
      <c r="F4" s="22" t="s">
        <v>41</v>
      </c>
      <c r="G4" s="22" t="s">
        <v>128</v>
      </c>
      <c r="H4" s="74" t="s">
        <v>129</v>
      </c>
      <c r="I4" s="74" t="s">
        <v>130</v>
      </c>
      <c r="J4" s="74" t="s">
        <v>131</v>
      </c>
    </row>
    <row r="5" customFormat="false" ht="15" hidden="false" customHeight="false" outlineLevel="0" collapsed="false">
      <c r="A5" s="75"/>
      <c r="B5" s="76"/>
      <c r="C5" s="77"/>
      <c r="D5" s="77"/>
      <c r="E5" s="78"/>
      <c r="F5" s="77"/>
      <c r="G5" s="77"/>
      <c r="H5" s="79" t="n">
        <f aca="false">N(H4)+IFERROR(IF(AND($A5&lt;&gt;"",$E5&lt;&gt;"",$A5&gt;=IF(Search!$E$4="",0,Search!$E$4),$A5&lt;=IF(Search!$E$5="",99999,Search!$E$5),OR(Search!$E$6="",ISNUMBER(SEARCH(Search!$E$6,$C5))),OR(Search!$E$7="All",Search!$E$7="",$D5=Search!$E$7),OR(Search!$E$8="",Search!$E$9="",AND($B5&lt;&gt;"",MOD($B5,1)&gt;=Search!$E$8,MOD($B5,1)&lt;=Search!$E$9))),1,0),0)</f>
        <v>0</v>
      </c>
      <c r="I5" s="79" t="n">
        <f aca="false">IF(H5&gt;N(H4),$E5,0)</f>
        <v>0</v>
      </c>
      <c r="J5" s="79" t="n">
        <f aca="false">IFERROR(IF(AND($A5&lt;&gt;"",$E5&lt;&gt;"",$A5&gt;=PeriodStart,$A5&lt;=PeriodEnd),$E5+ROW()/1000000,0),0)</f>
        <v>0</v>
      </c>
    </row>
    <row r="6" customFormat="false" ht="15" hidden="false" customHeight="false" outlineLevel="0" collapsed="false">
      <c r="A6" s="75"/>
      <c r="B6" s="76"/>
      <c r="C6" s="77"/>
      <c r="D6" s="77"/>
      <c r="E6" s="78"/>
      <c r="F6" s="77"/>
      <c r="G6" s="77"/>
      <c r="H6" s="79" t="n">
        <f aca="false">N(H5)+IFERROR(IF(AND($A6&lt;&gt;"",$E6&lt;&gt;"",$A6&gt;=IF(Search!$E$4="",0,Search!$E$4),$A6&lt;=IF(Search!$E$5="",99999,Search!$E$5),OR(Search!$E$6="",ISNUMBER(SEARCH(Search!$E$6,$C6))),OR(Search!$E$7="All",Search!$E$7="",$D6=Search!$E$7),OR(Search!$E$8="",Search!$E$9="",AND($B6&lt;&gt;"",MOD($B6,1)&gt;=Search!$E$8,MOD($B6,1)&lt;=Search!$E$9))),1,0),0)</f>
        <v>0</v>
      </c>
      <c r="I6" s="79" t="n">
        <f aca="false">IF(H6&gt;N(H5),$E6,0)</f>
        <v>0</v>
      </c>
      <c r="J6" s="79" t="n">
        <f aca="false">IFERROR(IF(AND($A6&lt;&gt;"",$E6&lt;&gt;"",$A6&gt;=PeriodStart,$A6&lt;=PeriodEnd),$E6+ROW()/1000000,0),0)</f>
        <v>0</v>
      </c>
    </row>
    <row r="7" customFormat="false" ht="15" hidden="false" customHeight="false" outlineLevel="0" collapsed="false">
      <c r="A7" s="75"/>
      <c r="B7" s="76"/>
      <c r="C7" s="77"/>
      <c r="D7" s="77"/>
      <c r="E7" s="78"/>
      <c r="F7" s="77"/>
      <c r="G7" s="77"/>
      <c r="H7" s="79" t="n">
        <f aca="false">N(H6)+IFERROR(IF(AND($A7&lt;&gt;"",$E7&lt;&gt;"",$A7&gt;=IF(Search!$E$4="",0,Search!$E$4),$A7&lt;=IF(Search!$E$5="",99999,Search!$E$5),OR(Search!$E$6="",ISNUMBER(SEARCH(Search!$E$6,$C7))),OR(Search!$E$7="All",Search!$E$7="",$D7=Search!$E$7),OR(Search!$E$8="",Search!$E$9="",AND($B7&lt;&gt;"",MOD($B7,1)&gt;=Search!$E$8,MOD($B7,1)&lt;=Search!$E$9))),1,0),0)</f>
        <v>0</v>
      </c>
      <c r="I7" s="79" t="n">
        <f aca="false">IF(H7&gt;N(H6),$E7,0)</f>
        <v>0</v>
      </c>
      <c r="J7" s="79" t="n">
        <f aca="false">IFERROR(IF(AND($A7&lt;&gt;"",$E7&lt;&gt;"",$A7&gt;=PeriodStart,$A7&lt;=PeriodEnd),$E7+ROW()/1000000,0),0)</f>
        <v>0</v>
      </c>
    </row>
    <row r="8" customFormat="false" ht="15" hidden="false" customHeight="false" outlineLevel="0" collapsed="false">
      <c r="A8" s="75"/>
      <c r="B8" s="76"/>
      <c r="C8" s="77"/>
      <c r="D8" s="77"/>
      <c r="E8" s="78"/>
      <c r="F8" s="77"/>
      <c r="G8" s="77"/>
      <c r="H8" s="79" t="n">
        <f aca="false">N(H7)+IFERROR(IF(AND($A8&lt;&gt;"",$E8&lt;&gt;"",$A8&gt;=IF(Search!$E$4="",0,Search!$E$4),$A8&lt;=IF(Search!$E$5="",99999,Search!$E$5),OR(Search!$E$6="",ISNUMBER(SEARCH(Search!$E$6,$C8))),OR(Search!$E$7="All",Search!$E$7="",$D8=Search!$E$7),OR(Search!$E$8="",Search!$E$9="",AND($B8&lt;&gt;"",MOD($B8,1)&gt;=Search!$E$8,MOD($B8,1)&lt;=Search!$E$9))),1,0),0)</f>
        <v>0</v>
      </c>
      <c r="I8" s="79" t="n">
        <f aca="false">IF(H8&gt;N(H7),$E8,0)</f>
        <v>0</v>
      </c>
      <c r="J8" s="79" t="n">
        <f aca="false">IFERROR(IF(AND($A8&lt;&gt;"",$E8&lt;&gt;"",$A8&gt;=PeriodStart,$A8&lt;=PeriodEnd),$E8+ROW()/1000000,0),0)</f>
        <v>0</v>
      </c>
    </row>
    <row r="9" customFormat="false" ht="15" hidden="false" customHeight="false" outlineLevel="0" collapsed="false">
      <c r="A9" s="75"/>
      <c r="B9" s="76"/>
      <c r="C9" s="77"/>
      <c r="D9" s="77"/>
      <c r="E9" s="78"/>
      <c r="F9" s="77"/>
      <c r="G9" s="77"/>
      <c r="H9" s="79" t="n">
        <f aca="false">N(H8)+IFERROR(IF(AND($A9&lt;&gt;"",$E9&lt;&gt;"",$A9&gt;=IF(Search!$E$4="",0,Search!$E$4),$A9&lt;=IF(Search!$E$5="",99999,Search!$E$5),OR(Search!$E$6="",ISNUMBER(SEARCH(Search!$E$6,$C9))),OR(Search!$E$7="All",Search!$E$7="",$D9=Search!$E$7),OR(Search!$E$8="",Search!$E$9="",AND($B9&lt;&gt;"",MOD($B9,1)&gt;=Search!$E$8,MOD($B9,1)&lt;=Search!$E$9))),1,0),0)</f>
        <v>0</v>
      </c>
      <c r="I9" s="79" t="n">
        <f aca="false">IF(H9&gt;N(H8),$E9,0)</f>
        <v>0</v>
      </c>
      <c r="J9" s="79" t="n">
        <f aca="false">IFERROR(IF(AND($A9&lt;&gt;"",$E9&lt;&gt;"",$A9&gt;=PeriodStart,$A9&lt;=PeriodEnd),$E9+ROW()/1000000,0),0)</f>
        <v>0</v>
      </c>
    </row>
    <row r="10" customFormat="false" ht="15" hidden="false" customHeight="false" outlineLevel="0" collapsed="false">
      <c r="A10" s="75"/>
      <c r="B10" s="76"/>
      <c r="C10" s="77"/>
      <c r="D10" s="77"/>
      <c r="E10" s="78"/>
      <c r="F10" s="77"/>
      <c r="G10" s="77"/>
      <c r="H10" s="79" t="n">
        <f aca="false">N(H9)+IFERROR(IF(AND($A10&lt;&gt;"",$E10&lt;&gt;"",$A10&gt;=IF(Search!$E$4="",0,Search!$E$4),$A10&lt;=IF(Search!$E$5="",99999,Search!$E$5),OR(Search!$E$6="",ISNUMBER(SEARCH(Search!$E$6,$C10))),OR(Search!$E$7="All",Search!$E$7="",$D10=Search!$E$7),OR(Search!$E$8="",Search!$E$9="",AND($B10&lt;&gt;"",MOD($B10,1)&gt;=Search!$E$8,MOD($B10,1)&lt;=Search!$E$9))),1,0),0)</f>
        <v>0</v>
      </c>
      <c r="I10" s="79" t="n">
        <f aca="false">IF(H10&gt;N(H9),$E10,0)</f>
        <v>0</v>
      </c>
      <c r="J10" s="79" t="n">
        <f aca="false">IFERROR(IF(AND($A10&lt;&gt;"",$E10&lt;&gt;"",$A10&gt;=PeriodStart,$A10&lt;=PeriodEnd),$E10+ROW()/1000000,0),0)</f>
        <v>0</v>
      </c>
    </row>
    <row r="11" customFormat="false" ht="15" hidden="false" customHeight="false" outlineLevel="0" collapsed="false">
      <c r="A11" s="75"/>
      <c r="B11" s="76"/>
      <c r="C11" s="77"/>
      <c r="D11" s="77"/>
      <c r="E11" s="78"/>
      <c r="F11" s="77"/>
      <c r="G11" s="77"/>
      <c r="H11" s="79" t="n">
        <f aca="false">N(H10)+IFERROR(IF(AND($A11&lt;&gt;"",$E11&lt;&gt;"",$A11&gt;=IF(Search!$E$4="",0,Search!$E$4),$A11&lt;=IF(Search!$E$5="",99999,Search!$E$5),OR(Search!$E$6="",ISNUMBER(SEARCH(Search!$E$6,$C11))),OR(Search!$E$7="All",Search!$E$7="",$D11=Search!$E$7),OR(Search!$E$8="",Search!$E$9="",AND($B11&lt;&gt;"",MOD($B11,1)&gt;=Search!$E$8,MOD($B11,1)&lt;=Search!$E$9))),1,0),0)</f>
        <v>0</v>
      </c>
      <c r="I11" s="79" t="n">
        <f aca="false">IF(H11&gt;N(H10),$E11,0)</f>
        <v>0</v>
      </c>
      <c r="J11" s="79" t="n">
        <f aca="false">IFERROR(IF(AND($A11&lt;&gt;"",$E11&lt;&gt;"",$A11&gt;=PeriodStart,$A11&lt;=PeriodEnd),$E11+ROW()/1000000,0),0)</f>
        <v>0</v>
      </c>
    </row>
    <row r="12" customFormat="false" ht="15" hidden="false" customHeight="false" outlineLevel="0" collapsed="false">
      <c r="A12" s="75"/>
      <c r="B12" s="76"/>
      <c r="C12" s="77"/>
      <c r="D12" s="77"/>
      <c r="E12" s="78"/>
      <c r="F12" s="77"/>
      <c r="G12" s="77"/>
      <c r="H12" s="79" t="n">
        <f aca="false">N(H11)+IFERROR(IF(AND($A12&lt;&gt;"",$E12&lt;&gt;"",$A12&gt;=IF(Search!$E$4="",0,Search!$E$4),$A12&lt;=IF(Search!$E$5="",99999,Search!$E$5),OR(Search!$E$6="",ISNUMBER(SEARCH(Search!$E$6,$C12))),OR(Search!$E$7="All",Search!$E$7="",$D12=Search!$E$7),OR(Search!$E$8="",Search!$E$9="",AND($B12&lt;&gt;"",MOD($B12,1)&gt;=Search!$E$8,MOD($B12,1)&lt;=Search!$E$9))),1,0),0)</f>
        <v>0</v>
      </c>
      <c r="I12" s="79" t="n">
        <f aca="false">IF(H12&gt;N(H11),$E12,0)</f>
        <v>0</v>
      </c>
      <c r="J12" s="79" t="n">
        <f aca="false">IFERROR(IF(AND($A12&lt;&gt;"",$E12&lt;&gt;"",$A12&gt;=PeriodStart,$A12&lt;=PeriodEnd),$E12+ROW()/1000000,0),0)</f>
        <v>0</v>
      </c>
    </row>
    <row r="13" customFormat="false" ht="15" hidden="false" customHeight="false" outlineLevel="0" collapsed="false">
      <c r="A13" s="75"/>
      <c r="B13" s="76"/>
      <c r="C13" s="77"/>
      <c r="D13" s="77"/>
      <c r="E13" s="78"/>
      <c r="F13" s="77"/>
      <c r="G13" s="77"/>
      <c r="H13" s="79" t="n">
        <f aca="false">N(H12)+IFERROR(IF(AND($A13&lt;&gt;"",$E13&lt;&gt;"",$A13&gt;=IF(Search!$E$4="",0,Search!$E$4),$A13&lt;=IF(Search!$E$5="",99999,Search!$E$5),OR(Search!$E$6="",ISNUMBER(SEARCH(Search!$E$6,$C13))),OR(Search!$E$7="All",Search!$E$7="",$D13=Search!$E$7),OR(Search!$E$8="",Search!$E$9="",AND($B13&lt;&gt;"",MOD($B13,1)&gt;=Search!$E$8,MOD($B13,1)&lt;=Search!$E$9))),1,0),0)</f>
        <v>0</v>
      </c>
      <c r="I13" s="79" t="n">
        <f aca="false">IF(H13&gt;N(H12),$E13,0)</f>
        <v>0</v>
      </c>
      <c r="J13" s="79" t="n">
        <f aca="false">IFERROR(IF(AND($A13&lt;&gt;"",$E13&lt;&gt;"",$A13&gt;=PeriodStart,$A13&lt;=PeriodEnd),$E13+ROW()/1000000,0),0)</f>
        <v>0</v>
      </c>
    </row>
    <row r="14" customFormat="false" ht="15" hidden="false" customHeight="false" outlineLevel="0" collapsed="false">
      <c r="A14" s="75"/>
      <c r="B14" s="76"/>
      <c r="C14" s="77"/>
      <c r="D14" s="77"/>
      <c r="E14" s="78"/>
      <c r="F14" s="77"/>
      <c r="G14" s="77"/>
      <c r="H14" s="79" t="n">
        <f aca="false">N(H13)+IFERROR(IF(AND($A14&lt;&gt;"",$E14&lt;&gt;"",$A14&gt;=IF(Search!$E$4="",0,Search!$E$4),$A14&lt;=IF(Search!$E$5="",99999,Search!$E$5),OR(Search!$E$6="",ISNUMBER(SEARCH(Search!$E$6,$C14))),OR(Search!$E$7="All",Search!$E$7="",$D14=Search!$E$7),OR(Search!$E$8="",Search!$E$9="",AND($B14&lt;&gt;"",MOD($B14,1)&gt;=Search!$E$8,MOD($B14,1)&lt;=Search!$E$9))),1,0),0)</f>
        <v>0</v>
      </c>
      <c r="I14" s="79" t="n">
        <f aca="false">IF(H14&gt;N(H13),$E14,0)</f>
        <v>0</v>
      </c>
      <c r="J14" s="79" t="n">
        <f aca="false">IFERROR(IF(AND($A14&lt;&gt;"",$E14&lt;&gt;"",$A14&gt;=PeriodStart,$A14&lt;=PeriodEnd),$E14+ROW()/1000000,0),0)</f>
        <v>0</v>
      </c>
    </row>
    <row r="15" customFormat="false" ht="15" hidden="false" customHeight="false" outlineLevel="0" collapsed="false">
      <c r="A15" s="75"/>
      <c r="B15" s="76"/>
      <c r="C15" s="77"/>
      <c r="D15" s="77"/>
      <c r="E15" s="78"/>
      <c r="F15" s="77"/>
      <c r="G15" s="77"/>
      <c r="H15" s="79" t="n">
        <f aca="false">N(H14)+IFERROR(IF(AND($A15&lt;&gt;"",$E15&lt;&gt;"",$A15&gt;=IF(Search!$E$4="",0,Search!$E$4),$A15&lt;=IF(Search!$E$5="",99999,Search!$E$5),OR(Search!$E$6="",ISNUMBER(SEARCH(Search!$E$6,$C15))),OR(Search!$E$7="All",Search!$E$7="",$D15=Search!$E$7),OR(Search!$E$8="",Search!$E$9="",AND($B15&lt;&gt;"",MOD($B15,1)&gt;=Search!$E$8,MOD($B15,1)&lt;=Search!$E$9))),1,0),0)</f>
        <v>0</v>
      </c>
      <c r="I15" s="79" t="n">
        <f aca="false">IF(H15&gt;N(H14),$E15,0)</f>
        <v>0</v>
      </c>
      <c r="J15" s="79" t="n">
        <f aca="false">IFERROR(IF(AND($A15&lt;&gt;"",$E15&lt;&gt;"",$A15&gt;=PeriodStart,$A15&lt;=PeriodEnd),$E15+ROW()/1000000,0),0)</f>
        <v>0</v>
      </c>
    </row>
    <row r="16" customFormat="false" ht="15" hidden="false" customHeight="false" outlineLevel="0" collapsed="false">
      <c r="A16" s="75"/>
      <c r="B16" s="76"/>
      <c r="C16" s="77"/>
      <c r="D16" s="77"/>
      <c r="E16" s="78"/>
      <c r="F16" s="77"/>
      <c r="G16" s="77"/>
      <c r="H16" s="79" t="n">
        <f aca="false">N(H15)+IFERROR(IF(AND($A16&lt;&gt;"",$E16&lt;&gt;"",$A16&gt;=IF(Search!$E$4="",0,Search!$E$4),$A16&lt;=IF(Search!$E$5="",99999,Search!$E$5),OR(Search!$E$6="",ISNUMBER(SEARCH(Search!$E$6,$C16))),OR(Search!$E$7="All",Search!$E$7="",$D16=Search!$E$7),OR(Search!$E$8="",Search!$E$9="",AND($B16&lt;&gt;"",MOD($B16,1)&gt;=Search!$E$8,MOD($B16,1)&lt;=Search!$E$9))),1,0),0)</f>
        <v>0</v>
      </c>
      <c r="I16" s="79" t="n">
        <f aca="false">IF(H16&gt;N(H15),$E16,0)</f>
        <v>0</v>
      </c>
      <c r="J16" s="79" t="n">
        <f aca="false">IFERROR(IF(AND($A16&lt;&gt;"",$E16&lt;&gt;"",$A16&gt;=PeriodStart,$A16&lt;=PeriodEnd),$E16+ROW()/1000000,0),0)</f>
        <v>0</v>
      </c>
    </row>
    <row r="17" customFormat="false" ht="15" hidden="false" customHeight="false" outlineLevel="0" collapsed="false">
      <c r="A17" s="75"/>
      <c r="B17" s="76"/>
      <c r="C17" s="77"/>
      <c r="D17" s="77"/>
      <c r="E17" s="78"/>
      <c r="F17" s="77"/>
      <c r="G17" s="77"/>
      <c r="H17" s="79" t="n">
        <f aca="false">N(H16)+IFERROR(IF(AND($A17&lt;&gt;"",$E17&lt;&gt;"",$A17&gt;=IF(Search!$E$4="",0,Search!$E$4),$A17&lt;=IF(Search!$E$5="",99999,Search!$E$5),OR(Search!$E$6="",ISNUMBER(SEARCH(Search!$E$6,$C17))),OR(Search!$E$7="All",Search!$E$7="",$D17=Search!$E$7),OR(Search!$E$8="",Search!$E$9="",AND($B17&lt;&gt;"",MOD($B17,1)&gt;=Search!$E$8,MOD($B17,1)&lt;=Search!$E$9))),1,0),0)</f>
        <v>0</v>
      </c>
      <c r="I17" s="79" t="n">
        <f aca="false">IF(H17&gt;N(H16),$E17,0)</f>
        <v>0</v>
      </c>
      <c r="J17" s="79" t="n">
        <f aca="false">IFERROR(IF(AND($A17&lt;&gt;"",$E17&lt;&gt;"",$A17&gt;=PeriodStart,$A17&lt;=PeriodEnd),$E17+ROW()/1000000,0),0)</f>
        <v>0</v>
      </c>
    </row>
    <row r="18" customFormat="false" ht="15" hidden="false" customHeight="false" outlineLevel="0" collapsed="false">
      <c r="A18" s="75"/>
      <c r="B18" s="76"/>
      <c r="C18" s="77"/>
      <c r="D18" s="77"/>
      <c r="E18" s="78"/>
      <c r="F18" s="77"/>
      <c r="G18" s="77"/>
      <c r="H18" s="79" t="n">
        <f aca="false">N(H17)+IFERROR(IF(AND($A18&lt;&gt;"",$E18&lt;&gt;"",$A18&gt;=IF(Search!$E$4="",0,Search!$E$4),$A18&lt;=IF(Search!$E$5="",99999,Search!$E$5),OR(Search!$E$6="",ISNUMBER(SEARCH(Search!$E$6,$C18))),OR(Search!$E$7="All",Search!$E$7="",$D18=Search!$E$7),OR(Search!$E$8="",Search!$E$9="",AND($B18&lt;&gt;"",MOD($B18,1)&gt;=Search!$E$8,MOD($B18,1)&lt;=Search!$E$9))),1,0),0)</f>
        <v>0</v>
      </c>
      <c r="I18" s="79" t="n">
        <f aca="false">IF(H18&gt;N(H17),$E18,0)</f>
        <v>0</v>
      </c>
      <c r="J18" s="79" t="n">
        <f aca="false">IFERROR(IF(AND($A18&lt;&gt;"",$E18&lt;&gt;"",$A18&gt;=PeriodStart,$A18&lt;=PeriodEnd),$E18+ROW()/1000000,0),0)</f>
        <v>0</v>
      </c>
    </row>
    <row r="19" customFormat="false" ht="15" hidden="false" customHeight="false" outlineLevel="0" collapsed="false">
      <c r="A19" s="75"/>
      <c r="B19" s="76"/>
      <c r="C19" s="77"/>
      <c r="D19" s="77"/>
      <c r="E19" s="78"/>
      <c r="F19" s="77"/>
      <c r="G19" s="77"/>
      <c r="H19" s="79" t="n">
        <f aca="false">N(H18)+IFERROR(IF(AND($A19&lt;&gt;"",$E19&lt;&gt;"",$A19&gt;=IF(Search!$E$4="",0,Search!$E$4),$A19&lt;=IF(Search!$E$5="",99999,Search!$E$5),OR(Search!$E$6="",ISNUMBER(SEARCH(Search!$E$6,$C19))),OR(Search!$E$7="All",Search!$E$7="",$D19=Search!$E$7),OR(Search!$E$8="",Search!$E$9="",AND($B19&lt;&gt;"",MOD($B19,1)&gt;=Search!$E$8,MOD($B19,1)&lt;=Search!$E$9))),1,0),0)</f>
        <v>0</v>
      </c>
      <c r="I19" s="79" t="n">
        <f aca="false">IF(H19&gt;N(H18),$E19,0)</f>
        <v>0</v>
      </c>
      <c r="J19" s="79" t="n">
        <f aca="false">IFERROR(IF(AND($A19&lt;&gt;"",$E19&lt;&gt;"",$A19&gt;=PeriodStart,$A19&lt;=PeriodEnd),$E19+ROW()/1000000,0),0)</f>
        <v>0</v>
      </c>
    </row>
    <row r="20" customFormat="false" ht="15" hidden="false" customHeight="false" outlineLevel="0" collapsed="false">
      <c r="A20" s="75"/>
      <c r="B20" s="76"/>
      <c r="C20" s="77"/>
      <c r="D20" s="77"/>
      <c r="E20" s="78"/>
      <c r="F20" s="77"/>
      <c r="G20" s="77"/>
      <c r="H20" s="79" t="n">
        <f aca="false">N(H19)+IFERROR(IF(AND($A20&lt;&gt;"",$E20&lt;&gt;"",$A20&gt;=IF(Search!$E$4="",0,Search!$E$4),$A20&lt;=IF(Search!$E$5="",99999,Search!$E$5),OR(Search!$E$6="",ISNUMBER(SEARCH(Search!$E$6,$C20))),OR(Search!$E$7="All",Search!$E$7="",$D20=Search!$E$7),OR(Search!$E$8="",Search!$E$9="",AND($B20&lt;&gt;"",MOD($B20,1)&gt;=Search!$E$8,MOD($B20,1)&lt;=Search!$E$9))),1,0),0)</f>
        <v>0</v>
      </c>
      <c r="I20" s="79" t="n">
        <f aca="false">IF(H20&gt;N(H19),$E20,0)</f>
        <v>0</v>
      </c>
      <c r="J20" s="79" t="n">
        <f aca="false">IFERROR(IF(AND($A20&lt;&gt;"",$E20&lt;&gt;"",$A20&gt;=PeriodStart,$A20&lt;=PeriodEnd),$E20+ROW()/1000000,0),0)</f>
        <v>0</v>
      </c>
    </row>
    <row r="21" customFormat="false" ht="15" hidden="false" customHeight="false" outlineLevel="0" collapsed="false">
      <c r="A21" s="75"/>
      <c r="B21" s="76"/>
      <c r="C21" s="77"/>
      <c r="D21" s="77"/>
      <c r="E21" s="78"/>
      <c r="F21" s="77"/>
      <c r="G21" s="77"/>
      <c r="H21" s="79" t="n">
        <f aca="false">N(H20)+IFERROR(IF(AND($A21&lt;&gt;"",$E21&lt;&gt;"",$A21&gt;=IF(Search!$E$4="",0,Search!$E$4),$A21&lt;=IF(Search!$E$5="",99999,Search!$E$5),OR(Search!$E$6="",ISNUMBER(SEARCH(Search!$E$6,$C21))),OR(Search!$E$7="All",Search!$E$7="",$D21=Search!$E$7),OR(Search!$E$8="",Search!$E$9="",AND($B21&lt;&gt;"",MOD($B21,1)&gt;=Search!$E$8,MOD($B21,1)&lt;=Search!$E$9))),1,0),0)</f>
        <v>0</v>
      </c>
      <c r="I21" s="79" t="n">
        <f aca="false">IF(H21&gt;N(H20),$E21,0)</f>
        <v>0</v>
      </c>
      <c r="J21" s="79" t="n">
        <f aca="false">IFERROR(IF(AND($A21&lt;&gt;"",$E21&lt;&gt;"",$A21&gt;=PeriodStart,$A21&lt;=PeriodEnd),$E21+ROW()/1000000,0),0)</f>
        <v>0</v>
      </c>
    </row>
    <row r="22" customFormat="false" ht="15" hidden="false" customHeight="false" outlineLevel="0" collapsed="false">
      <c r="A22" s="75"/>
      <c r="B22" s="76"/>
      <c r="C22" s="77"/>
      <c r="D22" s="77"/>
      <c r="E22" s="78"/>
      <c r="F22" s="77"/>
      <c r="G22" s="77"/>
      <c r="H22" s="79" t="n">
        <f aca="false">N(H21)+IFERROR(IF(AND($A22&lt;&gt;"",$E22&lt;&gt;"",$A22&gt;=IF(Search!$E$4="",0,Search!$E$4),$A22&lt;=IF(Search!$E$5="",99999,Search!$E$5),OR(Search!$E$6="",ISNUMBER(SEARCH(Search!$E$6,$C22))),OR(Search!$E$7="All",Search!$E$7="",$D22=Search!$E$7),OR(Search!$E$8="",Search!$E$9="",AND($B22&lt;&gt;"",MOD($B22,1)&gt;=Search!$E$8,MOD($B22,1)&lt;=Search!$E$9))),1,0),0)</f>
        <v>0</v>
      </c>
      <c r="I22" s="79" t="n">
        <f aca="false">IF(H22&gt;N(H21),$E22,0)</f>
        <v>0</v>
      </c>
      <c r="J22" s="79" t="n">
        <f aca="false">IFERROR(IF(AND($A22&lt;&gt;"",$E22&lt;&gt;"",$A22&gt;=PeriodStart,$A22&lt;=PeriodEnd),$E22+ROW()/1000000,0),0)</f>
        <v>0</v>
      </c>
    </row>
    <row r="23" customFormat="false" ht="15" hidden="false" customHeight="false" outlineLevel="0" collapsed="false">
      <c r="A23" s="75"/>
      <c r="B23" s="76"/>
      <c r="C23" s="77"/>
      <c r="D23" s="77"/>
      <c r="E23" s="78"/>
      <c r="F23" s="77"/>
      <c r="G23" s="77"/>
      <c r="H23" s="79" t="n">
        <f aca="false">N(H22)+IFERROR(IF(AND($A23&lt;&gt;"",$E23&lt;&gt;"",$A23&gt;=IF(Search!$E$4="",0,Search!$E$4),$A23&lt;=IF(Search!$E$5="",99999,Search!$E$5),OR(Search!$E$6="",ISNUMBER(SEARCH(Search!$E$6,$C23))),OR(Search!$E$7="All",Search!$E$7="",$D23=Search!$E$7),OR(Search!$E$8="",Search!$E$9="",AND($B23&lt;&gt;"",MOD($B23,1)&gt;=Search!$E$8,MOD($B23,1)&lt;=Search!$E$9))),1,0),0)</f>
        <v>0</v>
      </c>
      <c r="I23" s="79" t="n">
        <f aca="false">IF(H23&gt;N(H22),$E23,0)</f>
        <v>0</v>
      </c>
      <c r="J23" s="79" t="n">
        <f aca="false">IFERROR(IF(AND($A23&lt;&gt;"",$E23&lt;&gt;"",$A23&gt;=PeriodStart,$A23&lt;=PeriodEnd),$E23+ROW()/1000000,0),0)</f>
        <v>0</v>
      </c>
    </row>
    <row r="24" customFormat="false" ht="15" hidden="false" customHeight="false" outlineLevel="0" collapsed="false">
      <c r="A24" s="75"/>
      <c r="B24" s="76"/>
      <c r="C24" s="77"/>
      <c r="D24" s="77"/>
      <c r="E24" s="78"/>
      <c r="F24" s="77"/>
      <c r="G24" s="77"/>
      <c r="H24" s="79" t="n">
        <f aca="false">N(H23)+IFERROR(IF(AND($A24&lt;&gt;"",$E24&lt;&gt;"",$A24&gt;=IF(Search!$E$4="",0,Search!$E$4),$A24&lt;=IF(Search!$E$5="",99999,Search!$E$5),OR(Search!$E$6="",ISNUMBER(SEARCH(Search!$E$6,$C24))),OR(Search!$E$7="All",Search!$E$7="",$D24=Search!$E$7),OR(Search!$E$8="",Search!$E$9="",AND($B24&lt;&gt;"",MOD($B24,1)&gt;=Search!$E$8,MOD($B24,1)&lt;=Search!$E$9))),1,0),0)</f>
        <v>0</v>
      </c>
      <c r="I24" s="79" t="n">
        <f aca="false">IF(H24&gt;N(H23),$E24,0)</f>
        <v>0</v>
      </c>
      <c r="J24" s="79" t="n">
        <f aca="false">IFERROR(IF(AND($A24&lt;&gt;"",$E24&lt;&gt;"",$A24&gt;=PeriodStart,$A24&lt;=PeriodEnd),$E24+ROW()/1000000,0),0)</f>
        <v>0</v>
      </c>
    </row>
    <row r="25" customFormat="false" ht="15" hidden="false" customHeight="false" outlineLevel="0" collapsed="false">
      <c r="A25" s="75"/>
      <c r="B25" s="76"/>
      <c r="C25" s="77"/>
      <c r="D25" s="77"/>
      <c r="E25" s="78"/>
      <c r="F25" s="77"/>
      <c r="G25" s="77"/>
      <c r="H25" s="79" t="n">
        <f aca="false">N(H24)+IFERROR(IF(AND($A25&lt;&gt;"",$E25&lt;&gt;"",$A25&gt;=IF(Search!$E$4="",0,Search!$E$4),$A25&lt;=IF(Search!$E$5="",99999,Search!$E$5),OR(Search!$E$6="",ISNUMBER(SEARCH(Search!$E$6,$C25))),OR(Search!$E$7="All",Search!$E$7="",$D25=Search!$E$7),OR(Search!$E$8="",Search!$E$9="",AND($B25&lt;&gt;"",MOD($B25,1)&gt;=Search!$E$8,MOD($B25,1)&lt;=Search!$E$9))),1,0),0)</f>
        <v>0</v>
      </c>
      <c r="I25" s="79" t="n">
        <f aca="false">IF(H25&gt;N(H24),$E25,0)</f>
        <v>0</v>
      </c>
      <c r="J25" s="79" t="n">
        <f aca="false">IFERROR(IF(AND($A25&lt;&gt;"",$E25&lt;&gt;"",$A25&gt;=PeriodStart,$A25&lt;=PeriodEnd),$E25+ROW()/1000000,0),0)</f>
        <v>0</v>
      </c>
    </row>
    <row r="26" customFormat="false" ht="15" hidden="false" customHeight="false" outlineLevel="0" collapsed="false">
      <c r="A26" s="75"/>
      <c r="B26" s="76"/>
      <c r="C26" s="77"/>
      <c r="D26" s="77"/>
      <c r="E26" s="78"/>
      <c r="F26" s="77"/>
      <c r="G26" s="77"/>
      <c r="H26" s="79" t="n">
        <f aca="false">N(H25)+IFERROR(IF(AND($A26&lt;&gt;"",$E26&lt;&gt;"",$A26&gt;=IF(Search!$E$4="",0,Search!$E$4),$A26&lt;=IF(Search!$E$5="",99999,Search!$E$5),OR(Search!$E$6="",ISNUMBER(SEARCH(Search!$E$6,$C26))),OR(Search!$E$7="All",Search!$E$7="",$D26=Search!$E$7),OR(Search!$E$8="",Search!$E$9="",AND($B26&lt;&gt;"",MOD($B26,1)&gt;=Search!$E$8,MOD($B26,1)&lt;=Search!$E$9))),1,0),0)</f>
        <v>0</v>
      </c>
      <c r="I26" s="79" t="n">
        <f aca="false">IF(H26&gt;N(H25),$E26,0)</f>
        <v>0</v>
      </c>
      <c r="J26" s="79" t="n">
        <f aca="false">IFERROR(IF(AND($A26&lt;&gt;"",$E26&lt;&gt;"",$A26&gt;=PeriodStart,$A26&lt;=PeriodEnd),$E26+ROW()/1000000,0),0)</f>
        <v>0</v>
      </c>
    </row>
    <row r="27" customFormat="false" ht="15" hidden="false" customHeight="false" outlineLevel="0" collapsed="false">
      <c r="A27" s="75"/>
      <c r="B27" s="76"/>
      <c r="C27" s="77"/>
      <c r="D27" s="77"/>
      <c r="E27" s="78"/>
      <c r="F27" s="77"/>
      <c r="G27" s="77"/>
      <c r="H27" s="79" t="n">
        <f aca="false">N(H26)+IFERROR(IF(AND($A27&lt;&gt;"",$E27&lt;&gt;"",$A27&gt;=IF(Search!$E$4="",0,Search!$E$4),$A27&lt;=IF(Search!$E$5="",99999,Search!$E$5),OR(Search!$E$6="",ISNUMBER(SEARCH(Search!$E$6,$C27))),OR(Search!$E$7="All",Search!$E$7="",$D27=Search!$E$7),OR(Search!$E$8="",Search!$E$9="",AND($B27&lt;&gt;"",MOD($B27,1)&gt;=Search!$E$8,MOD($B27,1)&lt;=Search!$E$9))),1,0),0)</f>
        <v>0</v>
      </c>
      <c r="I27" s="79" t="n">
        <f aca="false">IF(H27&gt;N(H26),$E27,0)</f>
        <v>0</v>
      </c>
      <c r="J27" s="79" t="n">
        <f aca="false">IFERROR(IF(AND($A27&lt;&gt;"",$E27&lt;&gt;"",$A27&gt;=PeriodStart,$A27&lt;=PeriodEnd),$E27+ROW()/1000000,0),0)</f>
        <v>0</v>
      </c>
    </row>
    <row r="28" customFormat="false" ht="15" hidden="false" customHeight="false" outlineLevel="0" collapsed="false">
      <c r="A28" s="75"/>
      <c r="B28" s="76"/>
      <c r="C28" s="77"/>
      <c r="D28" s="77"/>
      <c r="E28" s="78"/>
      <c r="F28" s="77"/>
      <c r="G28" s="77"/>
      <c r="H28" s="79" t="n">
        <f aca="false">N(H27)+IFERROR(IF(AND($A28&lt;&gt;"",$E28&lt;&gt;"",$A28&gt;=IF(Search!$E$4="",0,Search!$E$4),$A28&lt;=IF(Search!$E$5="",99999,Search!$E$5),OR(Search!$E$6="",ISNUMBER(SEARCH(Search!$E$6,$C28))),OR(Search!$E$7="All",Search!$E$7="",$D28=Search!$E$7),OR(Search!$E$8="",Search!$E$9="",AND($B28&lt;&gt;"",MOD($B28,1)&gt;=Search!$E$8,MOD($B28,1)&lt;=Search!$E$9))),1,0),0)</f>
        <v>0</v>
      </c>
      <c r="I28" s="79" t="n">
        <f aca="false">IF(H28&gt;N(H27),$E28,0)</f>
        <v>0</v>
      </c>
      <c r="J28" s="79" t="n">
        <f aca="false">IFERROR(IF(AND($A28&lt;&gt;"",$E28&lt;&gt;"",$A28&gt;=PeriodStart,$A28&lt;=PeriodEnd),$E28+ROW()/1000000,0),0)</f>
        <v>0</v>
      </c>
    </row>
    <row r="29" customFormat="false" ht="15" hidden="false" customHeight="false" outlineLevel="0" collapsed="false">
      <c r="A29" s="75"/>
      <c r="B29" s="76"/>
      <c r="C29" s="77"/>
      <c r="D29" s="77"/>
      <c r="E29" s="78"/>
      <c r="F29" s="77"/>
      <c r="G29" s="77"/>
      <c r="H29" s="79" t="n">
        <f aca="false">N(H28)+IFERROR(IF(AND($A29&lt;&gt;"",$E29&lt;&gt;"",$A29&gt;=IF(Search!$E$4="",0,Search!$E$4),$A29&lt;=IF(Search!$E$5="",99999,Search!$E$5),OR(Search!$E$6="",ISNUMBER(SEARCH(Search!$E$6,$C29))),OR(Search!$E$7="All",Search!$E$7="",$D29=Search!$E$7),OR(Search!$E$8="",Search!$E$9="",AND($B29&lt;&gt;"",MOD($B29,1)&gt;=Search!$E$8,MOD($B29,1)&lt;=Search!$E$9))),1,0),0)</f>
        <v>0</v>
      </c>
      <c r="I29" s="79" t="n">
        <f aca="false">IF(H29&gt;N(H28),$E29,0)</f>
        <v>0</v>
      </c>
      <c r="J29" s="79" t="n">
        <f aca="false">IFERROR(IF(AND($A29&lt;&gt;"",$E29&lt;&gt;"",$A29&gt;=PeriodStart,$A29&lt;=PeriodEnd),$E29+ROW()/1000000,0),0)</f>
        <v>0</v>
      </c>
    </row>
    <row r="30" customFormat="false" ht="15" hidden="false" customHeight="false" outlineLevel="0" collapsed="false">
      <c r="A30" s="75"/>
      <c r="B30" s="76"/>
      <c r="C30" s="77"/>
      <c r="D30" s="77"/>
      <c r="E30" s="78"/>
      <c r="F30" s="77"/>
      <c r="G30" s="77"/>
      <c r="H30" s="79" t="n">
        <f aca="false">N(H29)+IFERROR(IF(AND($A30&lt;&gt;"",$E30&lt;&gt;"",$A30&gt;=IF(Search!$E$4="",0,Search!$E$4),$A30&lt;=IF(Search!$E$5="",99999,Search!$E$5),OR(Search!$E$6="",ISNUMBER(SEARCH(Search!$E$6,$C30))),OR(Search!$E$7="All",Search!$E$7="",$D30=Search!$E$7),OR(Search!$E$8="",Search!$E$9="",AND($B30&lt;&gt;"",MOD($B30,1)&gt;=Search!$E$8,MOD($B30,1)&lt;=Search!$E$9))),1,0),0)</f>
        <v>0</v>
      </c>
      <c r="I30" s="79" t="n">
        <f aca="false">IF(H30&gt;N(H29),$E30,0)</f>
        <v>0</v>
      </c>
      <c r="J30" s="79" t="n">
        <f aca="false">IFERROR(IF(AND($A30&lt;&gt;"",$E30&lt;&gt;"",$A30&gt;=PeriodStart,$A30&lt;=PeriodEnd),$E30+ROW()/1000000,0),0)</f>
        <v>0</v>
      </c>
    </row>
    <row r="31" customFormat="false" ht="15" hidden="false" customHeight="false" outlineLevel="0" collapsed="false">
      <c r="A31" s="75"/>
      <c r="B31" s="76"/>
      <c r="C31" s="77"/>
      <c r="D31" s="77"/>
      <c r="E31" s="78"/>
      <c r="F31" s="77"/>
      <c r="G31" s="77"/>
      <c r="H31" s="79" t="n">
        <f aca="false">N(H30)+IFERROR(IF(AND($A31&lt;&gt;"",$E31&lt;&gt;"",$A31&gt;=IF(Search!$E$4="",0,Search!$E$4),$A31&lt;=IF(Search!$E$5="",99999,Search!$E$5),OR(Search!$E$6="",ISNUMBER(SEARCH(Search!$E$6,$C31))),OR(Search!$E$7="All",Search!$E$7="",$D31=Search!$E$7),OR(Search!$E$8="",Search!$E$9="",AND($B31&lt;&gt;"",MOD($B31,1)&gt;=Search!$E$8,MOD($B31,1)&lt;=Search!$E$9))),1,0),0)</f>
        <v>0</v>
      </c>
      <c r="I31" s="79" t="n">
        <f aca="false">IF(H31&gt;N(H30),$E31,0)</f>
        <v>0</v>
      </c>
      <c r="J31" s="79" t="n">
        <f aca="false">IFERROR(IF(AND($A31&lt;&gt;"",$E31&lt;&gt;"",$A31&gt;=PeriodStart,$A31&lt;=PeriodEnd),$E31+ROW()/1000000,0),0)</f>
        <v>0</v>
      </c>
    </row>
    <row r="32" customFormat="false" ht="15" hidden="false" customHeight="false" outlineLevel="0" collapsed="false">
      <c r="A32" s="75"/>
      <c r="B32" s="76"/>
      <c r="C32" s="77"/>
      <c r="D32" s="77"/>
      <c r="E32" s="78"/>
      <c r="F32" s="77"/>
      <c r="G32" s="77"/>
      <c r="H32" s="79" t="n">
        <f aca="false">N(H31)+IFERROR(IF(AND($A32&lt;&gt;"",$E32&lt;&gt;"",$A32&gt;=IF(Search!$E$4="",0,Search!$E$4),$A32&lt;=IF(Search!$E$5="",99999,Search!$E$5),OR(Search!$E$6="",ISNUMBER(SEARCH(Search!$E$6,$C32))),OR(Search!$E$7="All",Search!$E$7="",$D32=Search!$E$7),OR(Search!$E$8="",Search!$E$9="",AND($B32&lt;&gt;"",MOD($B32,1)&gt;=Search!$E$8,MOD($B32,1)&lt;=Search!$E$9))),1,0),0)</f>
        <v>0</v>
      </c>
      <c r="I32" s="79" t="n">
        <f aca="false">IF(H32&gt;N(H31),$E32,0)</f>
        <v>0</v>
      </c>
      <c r="J32" s="79" t="n">
        <f aca="false">IFERROR(IF(AND($A32&lt;&gt;"",$E32&lt;&gt;"",$A32&gt;=PeriodStart,$A32&lt;=PeriodEnd),$E32+ROW()/1000000,0),0)</f>
        <v>0</v>
      </c>
    </row>
    <row r="33" customFormat="false" ht="15" hidden="false" customHeight="false" outlineLevel="0" collapsed="false">
      <c r="A33" s="75"/>
      <c r="B33" s="76"/>
      <c r="C33" s="77"/>
      <c r="D33" s="77"/>
      <c r="E33" s="78"/>
      <c r="F33" s="77"/>
      <c r="G33" s="77"/>
      <c r="H33" s="79" t="n">
        <f aca="false">N(H32)+IFERROR(IF(AND($A33&lt;&gt;"",$E33&lt;&gt;"",$A33&gt;=IF(Search!$E$4="",0,Search!$E$4),$A33&lt;=IF(Search!$E$5="",99999,Search!$E$5),OR(Search!$E$6="",ISNUMBER(SEARCH(Search!$E$6,$C33))),OR(Search!$E$7="All",Search!$E$7="",$D33=Search!$E$7),OR(Search!$E$8="",Search!$E$9="",AND($B33&lt;&gt;"",MOD($B33,1)&gt;=Search!$E$8,MOD($B33,1)&lt;=Search!$E$9))),1,0),0)</f>
        <v>0</v>
      </c>
      <c r="I33" s="79" t="n">
        <f aca="false">IF(H33&gt;N(H32),$E33,0)</f>
        <v>0</v>
      </c>
      <c r="J33" s="79" t="n">
        <f aca="false">IFERROR(IF(AND($A33&lt;&gt;"",$E33&lt;&gt;"",$A33&gt;=PeriodStart,$A33&lt;=PeriodEnd),$E33+ROW()/1000000,0),0)</f>
        <v>0</v>
      </c>
    </row>
    <row r="34" customFormat="false" ht="15" hidden="false" customHeight="false" outlineLevel="0" collapsed="false">
      <c r="A34" s="75"/>
      <c r="B34" s="76"/>
      <c r="C34" s="77"/>
      <c r="D34" s="77"/>
      <c r="E34" s="78"/>
      <c r="F34" s="77"/>
      <c r="G34" s="77"/>
      <c r="H34" s="79" t="n">
        <f aca="false">N(H33)+IFERROR(IF(AND($A34&lt;&gt;"",$E34&lt;&gt;"",$A34&gt;=IF(Search!$E$4="",0,Search!$E$4),$A34&lt;=IF(Search!$E$5="",99999,Search!$E$5),OR(Search!$E$6="",ISNUMBER(SEARCH(Search!$E$6,$C34))),OR(Search!$E$7="All",Search!$E$7="",$D34=Search!$E$7),OR(Search!$E$8="",Search!$E$9="",AND($B34&lt;&gt;"",MOD($B34,1)&gt;=Search!$E$8,MOD($B34,1)&lt;=Search!$E$9))),1,0),0)</f>
        <v>0</v>
      </c>
      <c r="I34" s="79" t="n">
        <f aca="false">IF(H34&gt;N(H33),$E34,0)</f>
        <v>0</v>
      </c>
      <c r="J34" s="79" t="n">
        <f aca="false">IFERROR(IF(AND($A34&lt;&gt;"",$E34&lt;&gt;"",$A34&gt;=PeriodStart,$A34&lt;=PeriodEnd),$E34+ROW()/1000000,0),0)</f>
        <v>0</v>
      </c>
    </row>
    <row r="35" customFormat="false" ht="15" hidden="false" customHeight="false" outlineLevel="0" collapsed="false">
      <c r="A35" s="75"/>
      <c r="B35" s="76"/>
      <c r="C35" s="77"/>
      <c r="D35" s="77"/>
      <c r="E35" s="78"/>
      <c r="F35" s="77"/>
      <c r="G35" s="77"/>
      <c r="H35" s="79" t="n">
        <f aca="false">N(H34)+IFERROR(IF(AND($A35&lt;&gt;"",$E35&lt;&gt;"",$A35&gt;=IF(Search!$E$4="",0,Search!$E$4),$A35&lt;=IF(Search!$E$5="",99999,Search!$E$5),OR(Search!$E$6="",ISNUMBER(SEARCH(Search!$E$6,$C35))),OR(Search!$E$7="All",Search!$E$7="",$D35=Search!$E$7),OR(Search!$E$8="",Search!$E$9="",AND($B35&lt;&gt;"",MOD($B35,1)&gt;=Search!$E$8,MOD($B35,1)&lt;=Search!$E$9))),1,0),0)</f>
        <v>0</v>
      </c>
      <c r="I35" s="79" t="n">
        <f aca="false">IF(H35&gt;N(H34),$E35,0)</f>
        <v>0</v>
      </c>
      <c r="J35" s="79" t="n">
        <f aca="false">IFERROR(IF(AND($A35&lt;&gt;"",$E35&lt;&gt;"",$A35&gt;=PeriodStart,$A35&lt;=PeriodEnd),$E35+ROW()/1000000,0),0)</f>
        <v>0</v>
      </c>
    </row>
    <row r="36" customFormat="false" ht="15" hidden="false" customHeight="false" outlineLevel="0" collapsed="false">
      <c r="A36" s="75"/>
      <c r="B36" s="76"/>
      <c r="C36" s="77"/>
      <c r="D36" s="77"/>
      <c r="E36" s="78"/>
      <c r="F36" s="77"/>
      <c r="G36" s="77"/>
      <c r="H36" s="79" t="n">
        <f aca="false">N(H35)+IFERROR(IF(AND($A36&lt;&gt;"",$E36&lt;&gt;"",$A36&gt;=IF(Search!$E$4="",0,Search!$E$4),$A36&lt;=IF(Search!$E$5="",99999,Search!$E$5),OR(Search!$E$6="",ISNUMBER(SEARCH(Search!$E$6,$C36))),OR(Search!$E$7="All",Search!$E$7="",$D36=Search!$E$7),OR(Search!$E$8="",Search!$E$9="",AND($B36&lt;&gt;"",MOD($B36,1)&gt;=Search!$E$8,MOD($B36,1)&lt;=Search!$E$9))),1,0),0)</f>
        <v>0</v>
      </c>
      <c r="I36" s="79" t="n">
        <f aca="false">IF(H36&gt;N(H35),$E36,0)</f>
        <v>0</v>
      </c>
      <c r="J36" s="79" t="n">
        <f aca="false">IFERROR(IF(AND($A36&lt;&gt;"",$E36&lt;&gt;"",$A36&gt;=PeriodStart,$A36&lt;=PeriodEnd),$E36+ROW()/1000000,0),0)</f>
        <v>0</v>
      </c>
    </row>
    <row r="37" customFormat="false" ht="15" hidden="false" customHeight="false" outlineLevel="0" collapsed="false">
      <c r="A37" s="75"/>
      <c r="B37" s="76"/>
      <c r="C37" s="77"/>
      <c r="D37" s="77"/>
      <c r="E37" s="78"/>
      <c r="F37" s="77"/>
      <c r="G37" s="77"/>
      <c r="H37" s="79" t="n">
        <f aca="false">N(H36)+IFERROR(IF(AND($A37&lt;&gt;"",$E37&lt;&gt;"",$A37&gt;=IF(Search!$E$4="",0,Search!$E$4),$A37&lt;=IF(Search!$E$5="",99999,Search!$E$5),OR(Search!$E$6="",ISNUMBER(SEARCH(Search!$E$6,$C37))),OR(Search!$E$7="All",Search!$E$7="",$D37=Search!$E$7),OR(Search!$E$8="",Search!$E$9="",AND($B37&lt;&gt;"",MOD($B37,1)&gt;=Search!$E$8,MOD($B37,1)&lt;=Search!$E$9))),1,0),0)</f>
        <v>0</v>
      </c>
      <c r="I37" s="79" t="n">
        <f aca="false">IF(H37&gt;N(H36),$E37,0)</f>
        <v>0</v>
      </c>
      <c r="J37" s="79" t="n">
        <f aca="false">IFERROR(IF(AND($A37&lt;&gt;"",$E37&lt;&gt;"",$A37&gt;=PeriodStart,$A37&lt;=PeriodEnd),$E37+ROW()/1000000,0),0)</f>
        <v>0</v>
      </c>
    </row>
    <row r="38" customFormat="false" ht="15" hidden="false" customHeight="false" outlineLevel="0" collapsed="false">
      <c r="A38" s="75"/>
      <c r="B38" s="76"/>
      <c r="C38" s="77"/>
      <c r="D38" s="77"/>
      <c r="E38" s="78"/>
      <c r="F38" s="77"/>
      <c r="G38" s="77"/>
      <c r="H38" s="79" t="n">
        <f aca="false">N(H37)+IFERROR(IF(AND($A38&lt;&gt;"",$E38&lt;&gt;"",$A38&gt;=IF(Search!$E$4="",0,Search!$E$4),$A38&lt;=IF(Search!$E$5="",99999,Search!$E$5),OR(Search!$E$6="",ISNUMBER(SEARCH(Search!$E$6,$C38))),OR(Search!$E$7="All",Search!$E$7="",$D38=Search!$E$7),OR(Search!$E$8="",Search!$E$9="",AND($B38&lt;&gt;"",MOD($B38,1)&gt;=Search!$E$8,MOD($B38,1)&lt;=Search!$E$9))),1,0),0)</f>
        <v>0</v>
      </c>
      <c r="I38" s="79" t="n">
        <f aca="false">IF(H38&gt;N(H37),$E38,0)</f>
        <v>0</v>
      </c>
      <c r="J38" s="79" t="n">
        <f aca="false">IFERROR(IF(AND($A38&lt;&gt;"",$E38&lt;&gt;"",$A38&gt;=PeriodStart,$A38&lt;=PeriodEnd),$E38+ROW()/1000000,0),0)</f>
        <v>0</v>
      </c>
    </row>
    <row r="39" customFormat="false" ht="15" hidden="false" customHeight="false" outlineLevel="0" collapsed="false">
      <c r="A39" s="75"/>
      <c r="B39" s="76"/>
      <c r="C39" s="77"/>
      <c r="D39" s="77"/>
      <c r="E39" s="78"/>
      <c r="F39" s="77"/>
      <c r="G39" s="77"/>
      <c r="H39" s="79" t="n">
        <f aca="false">N(H38)+IFERROR(IF(AND($A39&lt;&gt;"",$E39&lt;&gt;"",$A39&gt;=IF(Search!$E$4="",0,Search!$E$4),$A39&lt;=IF(Search!$E$5="",99999,Search!$E$5),OR(Search!$E$6="",ISNUMBER(SEARCH(Search!$E$6,$C39))),OR(Search!$E$7="All",Search!$E$7="",$D39=Search!$E$7),OR(Search!$E$8="",Search!$E$9="",AND($B39&lt;&gt;"",MOD($B39,1)&gt;=Search!$E$8,MOD($B39,1)&lt;=Search!$E$9))),1,0),0)</f>
        <v>0</v>
      </c>
      <c r="I39" s="79" t="n">
        <f aca="false">IF(H39&gt;N(H38),$E39,0)</f>
        <v>0</v>
      </c>
      <c r="J39" s="79" t="n">
        <f aca="false">IFERROR(IF(AND($A39&lt;&gt;"",$E39&lt;&gt;"",$A39&gt;=PeriodStart,$A39&lt;=PeriodEnd),$E39+ROW()/1000000,0),0)</f>
        <v>0</v>
      </c>
    </row>
    <row r="40" customFormat="false" ht="15" hidden="false" customHeight="false" outlineLevel="0" collapsed="false">
      <c r="A40" s="75"/>
      <c r="B40" s="76"/>
      <c r="C40" s="77"/>
      <c r="D40" s="77"/>
      <c r="E40" s="78"/>
      <c r="F40" s="77"/>
      <c r="G40" s="77"/>
      <c r="H40" s="79" t="n">
        <f aca="false">N(H39)+IFERROR(IF(AND($A40&lt;&gt;"",$E40&lt;&gt;"",$A40&gt;=IF(Search!$E$4="",0,Search!$E$4),$A40&lt;=IF(Search!$E$5="",99999,Search!$E$5),OR(Search!$E$6="",ISNUMBER(SEARCH(Search!$E$6,$C40))),OR(Search!$E$7="All",Search!$E$7="",$D40=Search!$E$7),OR(Search!$E$8="",Search!$E$9="",AND($B40&lt;&gt;"",MOD($B40,1)&gt;=Search!$E$8,MOD($B40,1)&lt;=Search!$E$9))),1,0),0)</f>
        <v>0</v>
      </c>
      <c r="I40" s="79" t="n">
        <f aca="false">IF(H40&gt;N(H39),$E40,0)</f>
        <v>0</v>
      </c>
      <c r="J40" s="79" t="n">
        <f aca="false">IFERROR(IF(AND($A40&lt;&gt;"",$E40&lt;&gt;"",$A40&gt;=PeriodStart,$A40&lt;=PeriodEnd),$E40+ROW()/1000000,0),0)</f>
        <v>0</v>
      </c>
    </row>
    <row r="41" customFormat="false" ht="15" hidden="false" customHeight="false" outlineLevel="0" collapsed="false">
      <c r="A41" s="75"/>
      <c r="B41" s="76"/>
      <c r="C41" s="77"/>
      <c r="D41" s="77"/>
      <c r="E41" s="78"/>
      <c r="F41" s="77"/>
      <c r="G41" s="77"/>
      <c r="H41" s="79" t="n">
        <f aca="false">N(H40)+IFERROR(IF(AND($A41&lt;&gt;"",$E41&lt;&gt;"",$A41&gt;=IF(Search!$E$4="",0,Search!$E$4),$A41&lt;=IF(Search!$E$5="",99999,Search!$E$5),OR(Search!$E$6="",ISNUMBER(SEARCH(Search!$E$6,$C41))),OR(Search!$E$7="All",Search!$E$7="",$D41=Search!$E$7),OR(Search!$E$8="",Search!$E$9="",AND($B41&lt;&gt;"",MOD($B41,1)&gt;=Search!$E$8,MOD($B41,1)&lt;=Search!$E$9))),1,0),0)</f>
        <v>0</v>
      </c>
      <c r="I41" s="79" t="n">
        <f aca="false">IF(H41&gt;N(H40),$E41,0)</f>
        <v>0</v>
      </c>
      <c r="J41" s="79" t="n">
        <f aca="false">IFERROR(IF(AND($A41&lt;&gt;"",$E41&lt;&gt;"",$A41&gt;=PeriodStart,$A41&lt;=PeriodEnd),$E41+ROW()/1000000,0),0)</f>
        <v>0</v>
      </c>
    </row>
    <row r="42" customFormat="false" ht="15" hidden="false" customHeight="false" outlineLevel="0" collapsed="false">
      <c r="A42" s="75"/>
      <c r="B42" s="76"/>
      <c r="C42" s="77"/>
      <c r="D42" s="77"/>
      <c r="E42" s="78"/>
      <c r="F42" s="77"/>
      <c r="G42" s="77"/>
      <c r="H42" s="79" t="n">
        <f aca="false">N(H41)+IFERROR(IF(AND($A42&lt;&gt;"",$E42&lt;&gt;"",$A42&gt;=IF(Search!$E$4="",0,Search!$E$4),$A42&lt;=IF(Search!$E$5="",99999,Search!$E$5),OR(Search!$E$6="",ISNUMBER(SEARCH(Search!$E$6,$C42))),OR(Search!$E$7="All",Search!$E$7="",$D42=Search!$E$7),OR(Search!$E$8="",Search!$E$9="",AND($B42&lt;&gt;"",MOD($B42,1)&gt;=Search!$E$8,MOD($B42,1)&lt;=Search!$E$9))),1,0),0)</f>
        <v>0</v>
      </c>
      <c r="I42" s="79" t="n">
        <f aca="false">IF(H42&gt;N(H41),$E42,0)</f>
        <v>0</v>
      </c>
      <c r="J42" s="79" t="n">
        <f aca="false">IFERROR(IF(AND($A42&lt;&gt;"",$E42&lt;&gt;"",$A42&gt;=PeriodStart,$A42&lt;=PeriodEnd),$E42+ROW()/1000000,0),0)</f>
        <v>0</v>
      </c>
    </row>
    <row r="43" customFormat="false" ht="15" hidden="false" customHeight="false" outlineLevel="0" collapsed="false">
      <c r="A43" s="75"/>
      <c r="B43" s="76"/>
      <c r="C43" s="77"/>
      <c r="D43" s="77"/>
      <c r="E43" s="78"/>
      <c r="F43" s="77"/>
      <c r="G43" s="77"/>
      <c r="H43" s="79" t="n">
        <f aca="false">N(H42)+IFERROR(IF(AND($A43&lt;&gt;"",$E43&lt;&gt;"",$A43&gt;=IF(Search!$E$4="",0,Search!$E$4),$A43&lt;=IF(Search!$E$5="",99999,Search!$E$5),OR(Search!$E$6="",ISNUMBER(SEARCH(Search!$E$6,$C43))),OR(Search!$E$7="All",Search!$E$7="",$D43=Search!$E$7),OR(Search!$E$8="",Search!$E$9="",AND($B43&lt;&gt;"",MOD($B43,1)&gt;=Search!$E$8,MOD($B43,1)&lt;=Search!$E$9))),1,0),0)</f>
        <v>0</v>
      </c>
      <c r="I43" s="79" t="n">
        <f aca="false">IF(H43&gt;N(H42),$E43,0)</f>
        <v>0</v>
      </c>
      <c r="J43" s="79" t="n">
        <f aca="false">IFERROR(IF(AND($A43&lt;&gt;"",$E43&lt;&gt;"",$A43&gt;=PeriodStart,$A43&lt;=PeriodEnd),$E43+ROW()/1000000,0),0)</f>
        <v>0</v>
      </c>
    </row>
    <row r="44" customFormat="false" ht="15" hidden="false" customHeight="false" outlineLevel="0" collapsed="false">
      <c r="A44" s="75"/>
      <c r="B44" s="76"/>
      <c r="C44" s="77"/>
      <c r="D44" s="77"/>
      <c r="E44" s="78"/>
      <c r="F44" s="77"/>
      <c r="G44" s="77"/>
      <c r="H44" s="79" t="n">
        <f aca="false">N(H43)+IFERROR(IF(AND($A44&lt;&gt;"",$E44&lt;&gt;"",$A44&gt;=IF(Search!$E$4="",0,Search!$E$4),$A44&lt;=IF(Search!$E$5="",99999,Search!$E$5),OR(Search!$E$6="",ISNUMBER(SEARCH(Search!$E$6,$C44))),OR(Search!$E$7="All",Search!$E$7="",$D44=Search!$E$7),OR(Search!$E$8="",Search!$E$9="",AND($B44&lt;&gt;"",MOD($B44,1)&gt;=Search!$E$8,MOD($B44,1)&lt;=Search!$E$9))),1,0),0)</f>
        <v>0</v>
      </c>
      <c r="I44" s="79" t="n">
        <f aca="false">IF(H44&gt;N(H43),$E44,0)</f>
        <v>0</v>
      </c>
      <c r="J44" s="79" t="n">
        <f aca="false">IFERROR(IF(AND($A44&lt;&gt;"",$E44&lt;&gt;"",$A44&gt;=PeriodStart,$A44&lt;=PeriodEnd),$E44+ROW()/1000000,0),0)</f>
        <v>0</v>
      </c>
    </row>
    <row r="45" customFormat="false" ht="15" hidden="false" customHeight="false" outlineLevel="0" collapsed="false">
      <c r="A45" s="75"/>
      <c r="B45" s="76"/>
      <c r="C45" s="77"/>
      <c r="D45" s="77"/>
      <c r="E45" s="78"/>
      <c r="F45" s="77"/>
      <c r="G45" s="77"/>
      <c r="H45" s="79" t="n">
        <f aca="false">N(H44)+IFERROR(IF(AND($A45&lt;&gt;"",$E45&lt;&gt;"",$A45&gt;=IF(Search!$E$4="",0,Search!$E$4),$A45&lt;=IF(Search!$E$5="",99999,Search!$E$5),OR(Search!$E$6="",ISNUMBER(SEARCH(Search!$E$6,$C45))),OR(Search!$E$7="All",Search!$E$7="",$D45=Search!$E$7),OR(Search!$E$8="",Search!$E$9="",AND($B45&lt;&gt;"",MOD($B45,1)&gt;=Search!$E$8,MOD($B45,1)&lt;=Search!$E$9))),1,0),0)</f>
        <v>0</v>
      </c>
      <c r="I45" s="79" t="n">
        <f aca="false">IF(H45&gt;N(H44),$E45,0)</f>
        <v>0</v>
      </c>
      <c r="J45" s="79" t="n">
        <f aca="false">IFERROR(IF(AND($A45&lt;&gt;"",$E45&lt;&gt;"",$A45&gt;=PeriodStart,$A45&lt;=PeriodEnd),$E45+ROW()/1000000,0),0)</f>
        <v>0</v>
      </c>
    </row>
    <row r="46" customFormat="false" ht="15" hidden="false" customHeight="false" outlineLevel="0" collapsed="false">
      <c r="A46" s="75"/>
      <c r="B46" s="76"/>
      <c r="C46" s="77"/>
      <c r="D46" s="77"/>
      <c r="E46" s="78"/>
      <c r="F46" s="77"/>
      <c r="G46" s="77"/>
      <c r="H46" s="79" t="n">
        <f aca="false">N(H45)+IFERROR(IF(AND($A46&lt;&gt;"",$E46&lt;&gt;"",$A46&gt;=IF(Search!$E$4="",0,Search!$E$4),$A46&lt;=IF(Search!$E$5="",99999,Search!$E$5),OR(Search!$E$6="",ISNUMBER(SEARCH(Search!$E$6,$C46))),OR(Search!$E$7="All",Search!$E$7="",$D46=Search!$E$7),OR(Search!$E$8="",Search!$E$9="",AND($B46&lt;&gt;"",MOD($B46,1)&gt;=Search!$E$8,MOD($B46,1)&lt;=Search!$E$9))),1,0),0)</f>
        <v>0</v>
      </c>
      <c r="I46" s="79" t="n">
        <f aca="false">IF(H46&gt;N(H45),$E46,0)</f>
        <v>0</v>
      </c>
      <c r="J46" s="79" t="n">
        <f aca="false">IFERROR(IF(AND($A46&lt;&gt;"",$E46&lt;&gt;"",$A46&gt;=PeriodStart,$A46&lt;=PeriodEnd),$E46+ROW()/1000000,0),0)</f>
        <v>0</v>
      </c>
    </row>
    <row r="47" customFormat="false" ht="15" hidden="false" customHeight="false" outlineLevel="0" collapsed="false">
      <c r="A47" s="75"/>
      <c r="B47" s="76"/>
      <c r="C47" s="77"/>
      <c r="D47" s="77"/>
      <c r="E47" s="78"/>
      <c r="F47" s="77"/>
      <c r="G47" s="77"/>
      <c r="H47" s="79" t="n">
        <f aca="false">N(H46)+IFERROR(IF(AND($A47&lt;&gt;"",$E47&lt;&gt;"",$A47&gt;=IF(Search!$E$4="",0,Search!$E$4),$A47&lt;=IF(Search!$E$5="",99999,Search!$E$5),OR(Search!$E$6="",ISNUMBER(SEARCH(Search!$E$6,$C47))),OR(Search!$E$7="All",Search!$E$7="",$D47=Search!$E$7),OR(Search!$E$8="",Search!$E$9="",AND($B47&lt;&gt;"",MOD($B47,1)&gt;=Search!$E$8,MOD($B47,1)&lt;=Search!$E$9))),1,0),0)</f>
        <v>0</v>
      </c>
      <c r="I47" s="79" t="n">
        <f aca="false">IF(H47&gt;N(H46),$E47,0)</f>
        <v>0</v>
      </c>
      <c r="J47" s="79" t="n">
        <f aca="false">IFERROR(IF(AND($A47&lt;&gt;"",$E47&lt;&gt;"",$A47&gt;=PeriodStart,$A47&lt;=PeriodEnd),$E47+ROW()/1000000,0),0)</f>
        <v>0</v>
      </c>
    </row>
    <row r="48" customFormat="false" ht="15" hidden="false" customHeight="false" outlineLevel="0" collapsed="false">
      <c r="A48" s="75"/>
      <c r="B48" s="76"/>
      <c r="C48" s="77"/>
      <c r="D48" s="77"/>
      <c r="E48" s="78"/>
      <c r="F48" s="77"/>
      <c r="G48" s="77"/>
      <c r="H48" s="79" t="n">
        <f aca="false">N(H47)+IFERROR(IF(AND($A48&lt;&gt;"",$E48&lt;&gt;"",$A48&gt;=IF(Search!$E$4="",0,Search!$E$4),$A48&lt;=IF(Search!$E$5="",99999,Search!$E$5),OR(Search!$E$6="",ISNUMBER(SEARCH(Search!$E$6,$C48))),OR(Search!$E$7="All",Search!$E$7="",$D48=Search!$E$7),OR(Search!$E$8="",Search!$E$9="",AND($B48&lt;&gt;"",MOD($B48,1)&gt;=Search!$E$8,MOD($B48,1)&lt;=Search!$E$9))),1,0),0)</f>
        <v>0</v>
      </c>
      <c r="I48" s="79" t="n">
        <f aca="false">IF(H48&gt;N(H47),$E48,0)</f>
        <v>0</v>
      </c>
      <c r="J48" s="79" t="n">
        <f aca="false">IFERROR(IF(AND($A48&lt;&gt;"",$E48&lt;&gt;"",$A48&gt;=PeriodStart,$A48&lt;=PeriodEnd),$E48+ROW()/1000000,0),0)</f>
        <v>0</v>
      </c>
    </row>
    <row r="49" customFormat="false" ht="15" hidden="false" customHeight="false" outlineLevel="0" collapsed="false">
      <c r="A49" s="75"/>
      <c r="B49" s="76"/>
      <c r="C49" s="77"/>
      <c r="D49" s="77"/>
      <c r="E49" s="78"/>
      <c r="F49" s="77"/>
      <c r="G49" s="77"/>
      <c r="H49" s="79" t="n">
        <f aca="false">N(H48)+IFERROR(IF(AND($A49&lt;&gt;"",$E49&lt;&gt;"",$A49&gt;=IF(Search!$E$4="",0,Search!$E$4),$A49&lt;=IF(Search!$E$5="",99999,Search!$E$5),OR(Search!$E$6="",ISNUMBER(SEARCH(Search!$E$6,$C49))),OR(Search!$E$7="All",Search!$E$7="",$D49=Search!$E$7),OR(Search!$E$8="",Search!$E$9="",AND($B49&lt;&gt;"",MOD($B49,1)&gt;=Search!$E$8,MOD($B49,1)&lt;=Search!$E$9))),1,0),0)</f>
        <v>0</v>
      </c>
      <c r="I49" s="79" t="n">
        <f aca="false">IF(H49&gt;N(H48),$E49,0)</f>
        <v>0</v>
      </c>
      <c r="J49" s="79" t="n">
        <f aca="false">IFERROR(IF(AND($A49&lt;&gt;"",$E49&lt;&gt;"",$A49&gt;=PeriodStart,$A49&lt;=PeriodEnd),$E49+ROW()/1000000,0),0)</f>
        <v>0</v>
      </c>
    </row>
    <row r="50" customFormat="false" ht="15" hidden="false" customHeight="false" outlineLevel="0" collapsed="false">
      <c r="A50" s="75"/>
      <c r="B50" s="76"/>
      <c r="C50" s="77"/>
      <c r="D50" s="77"/>
      <c r="E50" s="78"/>
      <c r="F50" s="77"/>
      <c r="G50" s="77"/>
      <c r="H50" s="79" t="n">
        <f aca="false">N(H49)+IFERROR(IF(AND($A50&lt;&gt;"",$E50&lt;&gt;"",$A50&gt;=IF(Search!$E$4="",0,Search!$E$4),$A50&lt;=IF(Search!$E$5="",99999,Search!$E$5),OR(Search!$E$6="",ISNUMBER(SEARCH(Search!$E$6,$C50))),OR(Search!$E$7="All",Search!$E$7="",$D50=Search!$E$7),OR(Search!$E$8="",Search!$E$9="",AND($B50&lt;&gt;"",MOD($B50,1)&gt;=Search!$E$8,MOD($B50,1)&lt;=Search!$E$9))),1,0),0)</f>
        <v>0</v>
      </c>
      <c r="I50" s="79" t="n">
        <f aca="false">IF(H50&gt;N(H49),$E50,0)</f>
        <v>0</v>
      </c>
      <c r="J50" s="79" t="n">
        <f aca="false">IFERROR(IF(AND($A50&lt;&gt;"",$E50&lt;&gt;"",$A50&gt;=PeriodStart,$A50&lt;=PeriodEnd),$E50+ROW()/1000000,0),0)</f>
        <v>0</v>
      </c>
    </row>
    <row r="51" customFormat="false" ht="15" hidden="false" customHeight="false" outlineLevel="0" collapsed="false">
      <c r="A51" s="75"/>
      <c r="B51" s="76"/>
      <c r="C51" s="77"/>
      <c r="D51" s="77"/>
      <c r="E51" s="78"/>
      <c r="F51" s="77"/>
      <c r="G51" s="77"/>
      <c r="H51" s="79" t="n">
        <f aca="false">N(H50)+IFERROR(IF(AND($A51&lt;&gt;"",$E51&lt;&gt;"",$A51&gt;=IF(Search!$E$4="",0,Search!$E$4),$A51&lt;=IF(Search!$E$5="",99999,Search!$E$5),OR(Search!$E$6="",ISNUMBER(SEARCH(Search!$E$6,$C51))),OR(Search!$E$7="All",Search!$E$7="",$D51=Search!$E$7),OR(Search!$E$8="",Search!$E$9="",AND($B51&lt;&gt;"",MOD($B51,1)&gt;=Search!$E$8,MOD($B51,1)&lt;=Search!$E$9))),1,0),0)</f>
        <v>0</v>
      </c>
      <c r="I51" s="79" t="n">
        <f aca="false">IF(H51&gt;N(H50),$E51,0)</f>
        <v>0</v>
      </c>
      <c r="J51" s="79" t="n">
        <f aca="false">IFERROR(IF(AND($A51&lt;&gt;"",$E51&lt;&gt;"",$A51&gt;=PeriodStart,$A51&lt;=PeriodEnd),$E51+ROW()/1000000,0),0)</f>
        <v>0</v>
      </c>
    </row>
    <row r="52" customFormat="false" ht="15" hidden="false" customHeight="false" outlineLevel="0" collapsed="false">
      <c r="A52" s="75"/>
      <c r="B52" s="76"/>
      <c r="C52" s="77"/>
      <c r="D52" s="77"/>
      <c r="E52" s="78"/>
      <c r="F52" s="77"/>
      <c r="G52" s="77"/>
      <c r="H52" s="79" t="n">
        <f aca="false">N(H51)+IFERROR(IF(AND($A52&lt;&gt;"",$E52&lt;&gt;"",$A52&gt;=IF(Search!$E$4="",0,Search!$E$4),$A52&lt;=IF(Search!$E$5="",99999,Search!$E$5),OR(Search!$E$6="",ISNUMBER(SEARCH(Search!$E$6,$C52))),OR(Search!$E$7="All",Search!$E$7="",$D52=Search!$E$7),OR(Search!$E$8="",Search!$E$9="",AND($B52&lt;&gt;"",MOD($B52,1)&gt;=Search!$E$8,MOD($B52,1)&lt;=Search!$E$9))),1,0),0)</f>
        <v>0</v>
      </c>
      <c r="I52" s="79" t="n">
        <f aca="false">IF(H52&gt;N(H51),$E52,0)</f>
        <v>0</v>
      </c>
      <c r="J52" s="79" t="n">
        <f aca="false">IFERROR(IF(AND($A52&lt;&gt;"",$E52&lt;&gt;"",$A52&gt;=PeriodStart,$A52&lt;=PeriodEnd),$E52+ROW()/1000000,0),0)</f>
        <v>0</v>
      </c>
    </row>
    <row r="53" customFormat="false" ht="15" hidden="false" customHeight="false" outlineLevel="0" collapsed="false">
      <c r="A53" s="75"/>
      <c r="B53" s="76"/>
      <c r="C53" s="77"/>
      <c r="D53" s="77"/>
      <c r="E53" s="78"/>
      <c r="F53" s="77"/>
      <c r="G53" s="77"/>
      <c r="H53" s="79" t="n">
        <f aca="false">N(H52)+IFERROR(IF(AND($A53&lt;&gt;"",$E53&lt;&gt;"",$A53&gt;=IF(Search!$E$4="",0,Search!$E$4),$A53&lt;=IF(Search!$E$5="",99999,Search!$E$5),OR(Search!$E$6="",ISNUMBER(SEARCH(Search!$E$6,$C53))),OR(Search!$E$7="All",Search!$E$7="",$D53=Search!$E$7),OR(Search!$E$8="",Search!$E$9="",AND($B53&lt;&gt;"",MOD($B53,1)&gt;=Search!$E$8,MOD($B53,1)&lt;=Search!$E$9))),1,0),0)</f>
        <v>0</v>
      </c>
      <c r="I53" s="79" t="n">
        <f aca="false">IF(H53&gt;N(H52),$E53,0)</f>
        <v>0</v>
      </c>
      <c r="J53" s="79" t="n">
        <f aca="false">IFERROR(IF(AND($A53&lt;&gt;"",$E53&lt;&gt;"",$A53&gt;=PeriodStart,$A53&lt;=PeriodEnd),$E53+ROW()/1000000,0),0)</f>
        <v>0</v>
      </c>
    </row>
    <row r="54" customFormat="false" ht="15" hidden="false" customHeight="false" outlineLevel="0" collapsed="false">
      <c r="A54" s="75"/>
      <c r="B54" s="76"/>
      <c r="C54" s="77"/>
      <c r="D54" s="77"/>
      <c r="E54" s="78"/>
      <c r="F54" s="77"/>
      <c r="G54" s="77"/>
      <c r="H54" s="79" t="n">
        <f aca="false">N(H53)+IFERROR(IF(AND($A54&lt;&gt;"",$E54&lt;&gt;"",$A54&gt;=IF(Search!$E$4="",0,Search!$E$4),$A54&lt;=IF(Search!$E$5="",99999,Search!$E$5),OR(Search!$E$6="",ISNUMBER(SEARCH(Search!$E$6,$C54))),OR(Search!$E$7="All",Search!$E$7="",$D54=Search!$E$7),OR(Search!$E$8="",Search!$E$9="",AND($B54&lt;&gt;"",MOD($B54,1)&gt;=Search!$E$8,MOD($B54,1)&lt;=Search!$E$9))),1,0),0)</f>
        <v>0</v>
      </c>
      <c r="I54" s="79" t="n">
        <f aca="false">IF(H54&gt;N(H53),$E54,0)</f>
        <v>0</v>
      </c>
      <c r="J54" s="79" t="n">
        <f aca="false">IFERROR(IF(AND($A54&lt;&gt;"",$E54&lt;&gt;"",$A54&gt;=PeriodStart,$A54&lt;=PeriodEnd),$E54+ROW()/1000000,0),0)</f>
        <v>0</v>
      </c>
    </row>
    <row r="55" customFormat="false" ht="15" hidden="false" customHeight="false" outlineLevel="0" collapsed="false">
      <c r="A55" s="75"/>
      <c r="B55" s="76"/>
      <c r="C55" s="77"/>
      <c r="D55" s="77"/>
      <c r="E55" s="78"/>
      <c r="F55" s="77"/>
      <c r="G55" s="77"/>
      <c r="H55" s="79" t="n">
        <f aca="false">N(H54)+IFERROR(IF(AND($A55&lt;&gt;"",$E55&lt;&gt;"",$A55&gt;=IF(Search!$E$4="",0,Search!$E$4),$A55&lt;=IF(Search!$E$5="",99999,Search!$E$5),OR(Search!$E$6="",ISNUMBER(SEARCH(Search!$E$6,$C55))),OR(Search!$E$7="All",Search!$E$7="",$D55=Search!$E$7),OR(Search!$E$8="",Search!$E$9="",AND($B55&lt;&gt;"",MOD($B55,1)&gt;=Search!$E$8,MOD($B55,1)&lt;=Search!$E$9))),1,0),0)</f>
        <v>0</v>
      </c>
      <c r="I55" s="79" t="n">
        <f aca="false">IF(H55&gt;N(H54),$E55,0)</f>
        <v>0</v>
      </c>
      <c r="J55" s="79" t="n">
        <f aca="false">IFERROR(IF(AND($A55&lt;&gt;"",$E55&lt;&gt;"",$A55&gt;=PeriodStart,$A55&lt;=PeriodEnd),$E55+ROW()/1000000,0),0)</f>
        <v>0</v>
      </c>
    </row>
    <row r="56" customFormat="false" ht="15" hidden="false" customHeight="false" outlineLevel="0" collapsed="false">
      <c r="A56" s="75"/>
      <c r="B56" s="76"/>
      <c r="C56" s="77"/>
      <c r="D56" s="77"/>
      <c r="E56" s="78"/>
      <c r="F56" s="77"/>
      <c r="G56" s="77"/>
      <c r="H56" s="79" t="n">
        <f aca="false">N(H55)+IFERROR(IF(AND($A56&lt;&gt;"",$E56&lt;&gt;"",$A56&gt;=IF(Search!$E$4="",0,Search!$E$4),$A56&lt;=IF(Search!$E$5="",99999,Search!$E$5),OR(Search!$E$6="",ISNUMBER(SEARCH(Search!$E$6,$C56))),OR(Search!$E$7="All",Search!$E$7="",$D56=Search!$E$7),OR(Search!$E$8="",Search!$E$9="",AND($B56&lt;&gt;"",MOD($B56,1)&gt;=Search!$E$8,MOD($B56,1)&lt;=Search!$E$9))),1,0),0)</f>
        <v>0</v>
      </c>
      <c r="I56" s="79" t="n">
        <f aca="false">IF(H56&gt;N(H55),$E56,0)</f>
        <v>0</v>
      </c>
      <c r="J56" s="79" t="n">
        <f aca="false">IFERROR(IF(AND($A56&lt;&gt;"",$E56&lt;&gt;"",$A56&gt;=PeriodStart,$A56&lt;=PeriodEnd),$E56+ROW()/1000000,0),0)</f>
        <v>0</v>
      </c>
    </row>
    <row r="57" customFormat="false" ht="15" hidden="false" customHeight="false" outlineLevel="0" collapsed="false">
      <c r="A57" s="75"/>
      <c r="B57" s="76"/>
      <c r="C57" s="77"/>
      <c r="D57" s="77"/>
      <c r="E57" s="78"/>
      <c r="F57" s="77"/>
      <c r="G57" s="77"/>
      <c r="H57" s="79" t="n">
        <f aca="false">N(H56)+IFERROR(IF(AND($A57&lt;&gt;"",$E57&lt;&gt;"",$A57&gt;=IF(Search!$E$4="",0,Search!$E$4),$A57&lt;=IF(Search!$E$5="",99999,Search!$E$5),OR(Search!$E$6="",ISNUMBER(SEARCH(Search!$E$6,$C57))),OR(Search!$E$7="All",Search!$E$7="",$D57=Search!$E$7),OR(Search!$E$8="",Search!$E$9="",AND($B57&lt;&gt;"",MOD($B57,1)&gt;=Search!$E$8,MOD($B57,1)&lt;=Search!$E$9))),1,0),0)</f>
        <v>0</v>
      </c>
      <c r="I57" s="79" t="n">
        <f aca="false">IF(H57&gt;N(H56),$E57,0)</f>
        <v>0</v>
      </c>
      <c r="J57" s="79" t="n">
        <f aca="false">IFERROR(IF(AND($A57&lt;&gt;"",$E57&lt;&gt;"",$A57&gt;=PeriodStart,$A57&lt;=PeriodEnd),$E57+ROW()/1000000,0),0)</f>
        <v>0</v>
      </c>
    </row>
    <row r="58" customFormat="false" ht="15" hidden="false" customHeight="false" outlineLevel="0" collapsed="false">
      <c r="A58" s="75"/>
      <c r="B58" s="76"/>
      <c r="C58" s="77"/>
      <c r="D58" s="77"/>
      <c r="E58" s="78"/>
      <c r="F58" s="77"/>
      <c r="G58" s="77"/>
      <c r="H58" s="79" t="n">
        <f aca="false">N(H57)+IFERROR(IF(AND($A58&lt;&gt;"",$E58&lt;&gt;"",$A58&gt;=IF(Search!$E$4="",0,Search!$E$4),$A58&lt;=IF(Search!$E$5="",99999,Search!$E$5),OR(Search!$E$6="",ISNUMBER(SEARCH(Search!$E$6,$C58))),OR(Search!$E$7="All",Search!$E$7="",$D58=Search!$E$7),OR(Search!$E$8="",Search!$E$9="",AND($B58&lt;&gt;"",MOD($B58,1)&gt;=Search!$E$8,MOD($B58,1)&lt;=Search!$E$9))),1,0),0)</f>
        <v>0</v>
      </c>
      <c r="I58" s="79" t="n">
        <f aca="false">IF(H58&gt;N(H57),$E58,0)</f>
        <v>0</v>
      </c>
      <c r="J58" s="79" t="n">
        <f aca="false">IFERROR(IF(AND($A58&lt;&gt;"",$E58&lt;&gt;"",$A58&gt;=PeriodStart,$A58&lt;=PeriodEnd),$E58+ROW()/1000000,0),0)</f>
        <v>0</v>
      </c>
    </row>
    <row r="59" customFormat="false" ht="15" hidden="false" customHeight="false" outlineLevel="0" collapsed="false">
      <c r="A59" s="75"/>
      <c r="B59" s="76"/>
      <c r="C59" s="77"/>
      <c r="D59" s="77"/>
      <c r="E59" s="78"/>
      <c r="F59" s="77"/>
      <c r="G59" s="77"/>
      <c r="H59" s="79" t="n">
        <f aca="false">N(H58)+IFERROR(IF(AND($A59&lt;&gt;"",$E59&lt;&gt;"",$A59&gt;=IF(Search!$E$4="",0,Search!$E$4),$A59&lt;=IF(Search!$E$5="",99999,Search!$E$5),OR(Search!$E$6="",ISNUMBER(SEARCH(Search!$E$6,$C59))),OR(Search!$E$7="All",Search!$E$7="",$D59=Search!$E$7),OR(Search!$E$8="",Search!$E$9="",AND($B59&lt;&gt;"",MOD($B59,1)&gt;=Search!$E$8,MOD($B59,1)&lt;=Search!$E$9))),1,0),0)</f>
        <v>0</v>
      </c>
      <c r="I59" s="79" t="n">
        <f aca="false">IF(H59&gt;N(H58),$E59,0)</f>
        <v>0</v>
      </c>
      <c r="J59" s="79" t="n">
        <f aca="false">IFERROR(IF(AND($A59&lt;&gt;"",$E59&lt;&gt;"",$A59&gt;=PeriodStart,$A59&lt;=PeriodEnd),$E59+ROW()/1000000,0),0)</f>
        <v>0</v>
      </c>
    </row>
    <row r="60" customFormat="false" ht="15" hidden="false" customHeight="false" outlineLevel="0" collapsed="false">
      <c r="A60" s="75"/>
      <c r="B60" s="76"/>
      <c r="C60" s="77"/>
      <c r="D60" s="77"/>
      <c r="E60" s="78"/>
      <c r="F60" s="77"/>
      <c r="G60" s="77"/>
      <c r="H60" s="79" t="n">
        <f aca="false">N(H59)+IFERROR(IF(AND($A60&lt;&gt;"",$E60&lt;&gt;"",$A60&gt;=IF(Search!$E$4="",0,Search!$E$4),$A60&lt;=IF(Search!$E$5="",99999,Search!$E$5),OR(Search!$E$6="",ISNUMBER(SEARCH(Search!$E$6,$C60))),OR(Search!$E$7="All",Search!$E$7="",$D60=Search!$E$7),OR(Search!$E$8="",Search!$E$9="",AND($B60&lt;&gt;"",MOD($B60,1)&gt;=Search!$E$8,MOD($B60,1)&lt;=Search!$E$9))),1,0),0)</f>
        <v>0</v>
      </c>
      <c r="I60" s="79" t="n">
        <f aca="false">IF(H60&gt;N(H59),$E60,0)</f>
        <v>0</v>
      </c>
      <c r="J60" s="79" t="n">
        <f aca="false">IFERROR(IF(AND($A60&lt;&gt;"",$E60&lt;&gt;"",$A60&gt;=PeriodStart,$A60&lt;=PeriodEnd),$E60+ROW()/1000000,0),0)</f>
        <v>0</v>
      </c>
    </row>
    <row r="61" customFormat="false" ht="15" hidden="false" customHeight="false" outlineLevel="0" collapsed="false">
      <c r="A61" s="75"/>
      <c r="B61" s="76"/>
      <c r="C61" s="77"/>
      <c r="D61" s="77"/>
      <c r="E61" s="78"/>
      <c r="F61" s="77"/>
      <c r="G61" s="77"/>
      <c r="H61" s="79" t="n">
        <f aca="false">N(H60)+IFERROR(IF(AND($A61&lt;&gt;"",$E61&lt;&gt;"",$A61&gt;=IF(Search!$E$4="",0,Search!$E$4),$A61&lt;=IF(Search!$E$5="",99999,Search!$E$5),OR(Search!$E$6="",ISNUMBER(SEARCH(Search!$E$6,$C61))),OR(Search!$E$7="All",Search!$E$7="",$D61=Search!$E$7),OR(Search!$E$8="",Search!$E$9="",AND($B61&lt;&gt;"",MOD($B61,1)&gt;=Search!$E$8,MOD($B61,1)&lt;=Search!$E$9))),1,0),0)</f>
        <v>0</v>
      </c>
      <c r="I61" s="79" t="n">
        <f aca="false">IF(H61&gt;N(H60),$E61,0)</f>
        <v>0</v>
      </c>
      <c r="J61" s="79" t="n">
        <f aca="false">IFERROR(IF(AND($A61&lt;&gt;"",$E61&lt;&gt;"",$A61&gt;=PeriodStart,$A61&lt;=PeriodEnd),$E61+ROW()/1000000,0),0)</f>
        <v>0</v>
      </c>
    </row>
    <row r="62" customFormat="false" ht="15" hidden="false" customHeight="false" outlineLevel="0" collapsed="false">
      <c r="A62" s="75"/>
      <c r="B62" s="76"/>
      <c r="C62" s="77"/>
      <c r="D62" s="77"/>
      <c r="E62" s="78"/>
      <c r="F62" s="77"/>
      <c r="G62" s="77"/>
      <c r="H62" s="79" t="n">
        <f aca="false">N(H61)+IFERROR(IF(AND($A62&lt;&gt;"",$E62&lt;&gt;"",$A62&gt;=IF(Search!$E$4="",0,Search!$E$4),$A62&lt;=IF(Search!$E$5="",99999,Search!$E$5),OR(Search!$E$6="",ISNUMBER(SEARCH(Search!$E$6,$C62))),OR(Search!$E$7="All",Search!$E$7="",$D62=Search!$E$7),OR(Search!$E$8="",Search!$E$9="",AND($B62&lt;&gt;"",MOD($B62,1)&gt;=Search!$E$8,MOD($B62,1)&lt;=Search!$E$9))),1,0),0)</f>
        <v>0</v>
      </c>
      <c r="I62" s="79" t="n">
        <f aca="false">IF(H62&gt;N(H61),$E62,0)</f>
        <v>0</v>
      </c>
      <c r="J62" s="79" t="n">
        <f aca="false">IFERROR(IF(AND($A62&lt;&gt;"",$E62&lt;&gt;"",$A62&gt;=PeriodStart,$A62&lt;=PeriodEnd),$E62+ROW()/1000000,0),0)</f>
        <v>0</v>
      </c>
    </row>
    <row r="63" customFormat="false" ht="15" hidden="false" customHeight="false" outlineLevel="0" collapsed="false">
      <c r="A63" s="75"/>
      <c r="B63" s="76"/>
      <c r="C63" s="77"/>
      <c r="D63" s="77"/>
      <c r="E63" s="78"/>
      <c r="F63" s="77"/>
      <c r="G63" s="77"/>
      <c r="H63" s="79" t="n">
        <f aca="false">N(H62)+IFERROR(IF(AND($A63&lt;&gt;"",$E63&lt;&gt;"",$A63&gt;=IF(Search!$E$4="",0,Search!$E$4),$A63&lt;=IF(Search!$E$5="",99999,Search!$E$5),OR(Search!$E$6="",ISNUMBER(SEARCH(Search!$E$6,$C63))),OR(Search!$E$7="All",Search!$E$7="",$D63=Search!$E$7),OR(Search!$E$8="",Search!$E$9="",AND($B63&lt;&gt;"",MOD($B63,1)&gt;=Search!$E$8,MOD($B63,1)&lt;=Search!$E$9))),1,0),0)</f>
        <v>0</v>
      </c>
      <c r="I63" s="79" t="n">
        <f aca="false">IF(H63&gt;N(H62),$E63,0)</f>
        <v>0</v>
      </c>
      <c r="J63" s="79" t="n">
        <f aca="false">IFERROR(IF(AND($A63&lt;&gt;"",$E63&lt;&gt;"",$A63&gt;=PeriodStart,$A63&lt;=PeriodEnd),$E63+ROW()/1000000,0),0)</f>
        <v>0</v>
      </c>
    </row>
    <row r="64" customFormat="false" ht="15" hidden="false" customHeight="false" outlineLevel="0" collapsed="false">
      <c r="A64" s="75"/>
      <c r="B64" s="76"/>
      <c r="C64" s="77"/>
      <c r="D64" s="77"/>
      <c r="E64" s="78"/>
      <c r="F64" s="77"/>
      <c r="G64" s="77"/>
      <c r="H64" s="79" t="n">
        <f aca="false">N(H63)+IFERROR(IF(AND($A64&lt;&gt;"",$E64&lt;&gt;"",$A64&gt;=IF(Search!$E$4="",0,Search!$E$4),$A64&lt;=IF(Search!$E$5="",99999,Search!$E$5),OR(Search!$E$6="",ISNUMBER(SEARCH(Search!$E$6,$C64))),OR(Search!$E$7="All",Search!$E$7="",$D64=Search!$E$7),OR(Search!$E$8="",Search!$E$9="",AND($B64&lt;&gt;"",MOD($B64,1)&gt;=Search!$E$8,MOD($B64,1)&lt;=Search!$E$9))),1,0),0)</f>
        <v>0</v>
      </c>
      <c r="I64" s="79" t="n">
        <f aca="false">IF(H64&gt;N(H63),$E64,0)</f>
        <v>0</v>
      </c>
      <c r="J64" s="79" t="n">
        <f aca="false">IFERROR(IF(AND($A64&lt;&gt;"",$E64&lt;&gt;"",$A64&gt;=PeriodStart,$A64&lt;=PeriodEnd),$E64+ROW()/1000000,0),0)</f>
        <v>0</v>
      </c>
    </row>
    <row r="65" customFormat="false" ht="15" hidden="false" customHeight="false" outlineLevel="0" collapsed="false">
      <c r="A65" s="75"/>
      <c r="B65" s="76"/>
      <c r="C65" s="77"/>
      <c r="D65" s="77"/>
      <c r="E65" s="78"/>
      <c r="F65" s="77"/>
      <c r="G65" s="77"/>
      <c r="H65" s="79" t="n">
        <f aca="false">N(H64)+IFERROR(IF(AND($A65&lt;&gt;"",$E65&lt;&gt;"",$A65&gt;=IF(Search!$E$4="",0,Search!$E$4),$A65&lt;=IF(Search!$E$5="",99999,Search!$E$5),OR(Search!$E$6="",ISNUMBER(SEARCH(Search!$E$6,$C65))),OR(Search!$E$7="All",Search!$E$7="",$D65=Search!$E$7),OR(Search!$E$8="",Search!$E$9="",AND($B65&lt;&gt;"",MOD($B65,1)&gt;=Search!$E$8,MOD($B65,1)&lt;=Search!$E$9))),1,0),0)</f>
        <v>0</v>
      </c>
      <c r="I65" s="79" t="n">
        <f aca="false">IF(H65&gt;N(H64),$E65,0)</f>
        <v>0</v>
      </c>
      <c r="J65" s="79" t="n">
        <f aca="false">IFERROR(IF(AND($A65&lt;&gt;"",$E65&lt;&gt;"",$A65&gt;=PeriodStart,$A65&lt;=PeriodEnd),$E65+ROW()/1000000,0),0)</f>
        <v>0</v>
      </c>
    </row>
    <row r="66" customFormat="false" ht="15" hidden="false" customHeight="false" outlineLevel="0" collapsed="false">
      <c r="A66" s="75"/>
      <c r="B66" s="76"/>
      <c r="C66" s="77"/>
      <c r="D66" s="77"/>
      <c r="E66" s="78"/>
      <c r="F66" s="77"/>
      <c r="G66" s="77"/>
      <c r="H66" s="79" t="n">
        <f aca="false">N(H65)+IFERROR(IF(AND($A66&lt;&gt;"",$E66&lt;&gt;"",$A66&gt;=IF(Search!$E$4="",0,Search!$E$4),$A66&lt;=IF(Search!$E$5="",99999,Search!$E$5),OR(Search!$E$6="",ISNUMBER(SEARCH(Search!$E$6,$C66))),OR(Search!$E$7="All",Search!$E$7="",$D66=Search!$E$7),OR(Search!$E$8="",Search!$E$9="",AND($B66&lt;&gt;"",MOD($B66,1)&gt;=Search!$E$8,MOD($B66,1)&lt;=Search!$E$9))),1,0),0)</f>
        <v>0</v>
      </c>
      <c r="I66" s="79" t="n">
        <f aca="false">IF(H66&gt;N(H65),$E66,0)</f>
        <v>0</v>
      </c>
      <c r="J66" s="79" t="n">
        <f aca="false">IFERROR(IF(AND($A66&lt;&gt;"",$E66&lt;&gt;"",$A66&gt;=PeriodStart,$A66&lt;=PeriodEnd),$E66+ROW()/1000000,0),0)</f>
        <v>0</v>
      </c>
    </row>
    <row r="67" customFormat="false" ht="15" hidden="false" customHeight="false" outlineLevel="0" collapsed="false">
      <c r="A67" s="75"/>
      <c r="B67" s="76"/>
      <c r="C67" s="77"/>
      <c r="D67" s="77"/>
      <c r="E67" s="78"/>
      <c r="F67" s="77"/>
      <c r="G67" s="77"/>
      <c r="H67" s="79" t="n">
        <f aca="false">N(H66)+IFERROR(IF(AND($A67&lt;&gt;"",$E67&lt;&gt;"",$A67&gt;=IF(Search!$E$4="",0,Search!$E$4),$A67&lt;=IF(Search!$E$5="",99999,Search!$E$5),OR(Search!$E$6="",ISNUMBER(SEARCH(Search!$E$6,$C67))),OR(Search!$E$7="All",Search!$E$7="",$D67=Search!$E$7),OR(Search!$E$8="",Search!$E$9="",AND($B67&lt;&gt;"",MOD($B67,1)&gt;=Search!$E$8,MOD($B67,1)&lt;=Search!$E$9))),1,0),0)</f>
        <v>0</v>
      </c>
      <c r="I67" s="79" t="n">
        <f aca="false">IF(H67&gt;N(H66),$E67,0)</f>
        <v>0</v>
      </c>
      <c r="J67" s="79" t="n">
        <f aca="false">IFERROR(IF(AND($A67&lt;&gt;"",$E67&lt;&gt;"",$A67&gt;=PeriodStart,$A67&lt;=PeriodEnd),$E67+ROW()/1000000,0),0)</f>
        <v>0</v>
      </c>
    </row>
    <row r="68" customFormat="false" ht="15" hidden="false" customHeight="false" outlineLevel="0" collapsed="false">
      <c r="A68" s="75"/>
      <c r="B68" s="76"/>
      <c r="C68" s="77"/>
      <c r="D68" s="77"/>
      <c r="E68" s="78"/>
      <c r="F68" s="77"/>
      <c r="G68" s="77"/>
      <c r="H68" s="79" t="n">
        <f aca="false">N(H67)+IFERROR(IF(AND($A68&lt;&gt;"",$E68&lt;&gt;"",$A68&gt;=IF(Search!$E$4="",0,Search!$E$4),$A68&lt;=IF(Search!$E$5="",99999,Search!$E$5),OR(Search!$E$6="",ISNUMBER(SEARCH(Search!$E$6,$C68))),OR(Search!$E$7="All",Search!$E$7="",$D68=Search!$E$7),OR(Search!$E$8="",Search!$E$9="",AND($B68&lt;&gt;"",MOD($B68,1)&gt;=Search!$E$8,MOD($B68,1)&lt;=Search!$E$9))),1,0),0)</f>
        <v>0</v>
      </c>
      <c r="I68" s="79" t="n">
        <f aca="false">IF(H68&gt;N(H67),$E68,0)</f>
        <v>0</v>
      </c>
      <c r="J68" s="79" t="n">
        <f aca="false">IFERROR(IF(AND($A68&lt;&gt;"",$E68&lt;&gt;"",$A68&gt;=PeriodStart,$A68&lt;=PeriodEnd),$E68+ROW()/1000000,0),0)</f>
        <v>0</v>
      </c>
    </row>
    <row r="69" customFormat="false" ht="15" hidden="false" customHeight="false" outlineLevel="0" collapsed="false">
      <c r="A69" s="75"/>
      <c r="B69" s="76"/>
      <c r="C69" s="77"/>
      <c r="D69" s="77"/>
      <c r="E69" s="78"/>
      <c r="F69" s="77"/>
      <c r="G69" s="77"/>
      <c r="H69" s="79" t="n">
        <f aca="false">N(H68)+IFERROR(IF(AND($A69&lt;&gt;"",$E69&lt;&gt;"",$A69&gt;=IF(Search!$E$4="",0,Search!$E$4),$A69&lt;=IF(Search!$E$5="",99999,Search!$E$5),OR(Search!$E$6="",ISNUMBER(SEARCH(Search!$E$6,$C69))),OR(Search!$E$7="All",Search!$E$7="",$D69=Search!$E$7),OR(Search!$E$8="",Search!$E$9="",AND($B69&lt;&gt;"",MOD($B69,1)&gt;=Search!$E$8,MOD($B69,1)&lt;=Search!$E$9))),1,0),0)</f>
        <v>0</v>
      </c>
      <c r="I69" s="79" t="n">
        <f aca="false">IF(H69&gt;N(H68),$E69,0)</f>
        <v>0</v>
      </c>
      <c r="J69" s="79" t="n">
        <f aca="false">IFERROR(IF(AND($A69&lt;&gt;"",$E69&lt;&gt;"",$A69&gt;=PeriodStart,$A69&lt;=PeriodEnd),$E69+ROW()/1000000,0),0)</f>
        <v>0</v>
      </c>
    </row>
    <row r="70" customFormat="false" ht="15" hidden="false" customHeight="false" outlineLevel="0" collapsed="false">
      <c r="A70" s="75"/>
      <c r="B70" s="76"/>
      <c r="C70" s="77"/>
      <c r="D70" s="77"/>
      <c r="E70" s="78"/>
      <c r="F70" s="77"/>
      <c r="G70" s="77"/>
      <c r="H70" s="79" t="n">
        <f aca="false">N(H69)+IFERROR(IF(AND($A70&lt;&gt;"",$E70&lt;&gt;"",$A70&gt;=IF(Search!$E$4="",0,Search!$E$4),$A70&lt;=IF(Search!$E$5="",99999,Search!$E$5),OR(Search!$E$6="",ISNUMBER(SEARCH(Search!$E$6,$C70))),OR(Search!$E$7="All",Search!$E$7="",$D70=Search!$E$7),OR(Search!$E$8="",Search!$E$9="",AND($B70&lt;&gt;"",MOD($B70,1)&gt;=Search!$E$8,MOD($B70,1)&lt;=Search!$E$9))),1,0),0)</f>
        <v>0</v>
      </c>
      <c r="I70" s="79" t="n">
        <f aca="false">IF(H70&gt;N(H69),$E70,0)</f>
        <v>0</v>
      </c>
      <c r="J70" s="79" t="n">
        <f aca="false">IFERROR(IF(AND($A70&lt;&gt;"",$E70&lt;&gt;"",$A70&gt;=PeriodStart,$A70&lt;=PeriodEnd),$E70+ROW()/1000000,0),0)</f>
        <v>0</v>
      </c>
    </row>
    <row r="71" customFormat="false" ht="15" hidden="false" customHeight="false" outlineLevel="0" collapsed="false">
      <c r="A71" s="75"/>
      <c r="B71" s="76"/>
      <c r="C71" s="77"/>
      <c r="D71" s="77"/>
      <c r="E71" s="78"/>
      <c r="F71" s="77"/>
      <c r="G71" s="77"/>
      <c r="H71" s="79" t="n">
        <f aca="false">N(H70)+IFERROR(IF(AND($A71&lt;&gt;"",$E71&lt;&gt;"",$A71&gt;=IF(Search!$E$4="",0,Search!$E$4),$A71&lt;=IF(Search!$E$5="",99999,Search!$E$5),OR(Search!$E$6="",ISNUMBER(SEARCH(Search!$E$6,$C71))),OR(Search!$E$7="All",Search!$E$7="",$D71=Search!$E$7),OR(Search!$E$8="",Search!$E$9="",AND($B71&lt;&gt;"",MOD($B71,1)&gt;=Search!$E$8,MOD($B71,1)&lt;=Search!$E$9))),1,0),0)</f>
        <v>0</v>
      </c>
      <c r="I71" s="79" t="n">
        <f aca="false">IF(H71&gt;N(H70),$E71,0)</f>
        <v>0</v>
      </c>
      <c r="J71" s="79" t="n">
        <f aca="false">IFERROR(IF(AND($A71&lt;&gt;"",$E71&lt;&gt;"",$A71&gt;=PeriodStart,$A71&lt;=PeriodEnd),$E71+ROW()/1000000,0),0)</f>
        <v>0</v>
      </c>
    </row>
    <row r="72" customFormat="false" ht="15" hidden="false" customHeight="false" outlineLevel="0" collapsed="false">
      <c r="A72" s="75"/>
      <c r="B72" s="76"/>
      <c r="C72" s="77"/>
      <c r="D72" s="77"/>
      <c r="E72" s="78"/>
      <c r="F72" s="77"/>
      <c r="G72" s="77"/>
      <c r="H72" s="79" t="n">
        <f aca="false">N(H71)+IFERROR(IF(AND($A72&lt;&gt;"",$E72&lt;&gt;"",$A72&gt;=IF(Search!$E$4="",0,Search!$E$4),$A72&lt;=IF(Search!$E$5="",99999,Search!$E$5),OR(Search!$E$6="",ISNUMBER(SEARCH(Search!$E$6,$C72))),OR(Search!$E$7="All",Search!$E$7="",$D72=Search!$E$7),OR(Search!$E$8="",Search!$E$9="",AND($B72&lt;&gt;"",MOD($B72,1)&gt;=Search!$E$8,MOD($B72,1)&lt;=Search!$E$9))),1,0),0)</f>
        <v>0</v>
      </c>
      <c r="I72" s="79" t="n">
        <f aca="false">IF(H72&gt;N(H71),$E72,0)</f>
        <v>0</v>
      </c>
      <c r="J72" s="79" t="n">
        <f aca="false">IFERROR(IF(AND($A72&lt;&gt;"",$E72&lt;&gt;"",$A72&gt;=PeriodStart,$A72&lt;=PeriodEnd),$E72+ROW()/1000000,0),0)</f>
        <v>0</v>
      </c>
    </row>
    <row r="73" customFormat="false" ht="15" hidden="false" customHeight="false" outlineLevel="0" collapsed="false">
      <c r="A73" s="75"/>
      <c r="B73" s="76"/>
      <c r="C73" s="77"/>
      <c r="D73" s="77"/>
      <c r="E73" s="78"/>
      <c r="F73" s="77"/>
      <c r="G73" s="77"/>
      <c r="H73" s="79" t="n">
        <f aca="false">N(H72)+IFERROR(IF(AND($A73&lt;&gt;"",$E73&lt;&gt;"",$A73&gt;=IF(Search!$E$4="",0,Search!$E$4),$A73&lt;=IF(Search!$E$5="",99999,Search!$E$5),OR(Search!$E$6="",ISNUMBER(SEARCH(Search!$E$6,$C73))),OR(Search!$E$7="All",Search!$E$7="",$D73=Search!$E$7),OR(Search!$E$8="",Search!$E$9="",AND($B73&lt;&gt;"",MOD($B73,1)&gt;=Search!$E$8,MOD($B73,1)&lt;=Search!$E$9))),1,0),0)</f>
        <v>0</v>
      </c>
      <c r="I73" s="79" t="n">
        <f aca="false">IF(H73&gt;N(H72),$E73,0)</f>
        <v>0</v>
      </c>
      <c r="J73" s="79" t="n">
        <f aca="false">IFERROR(IF(AND($A73&lt;&gt;"",$E73&lt;&gt;"",$A73&gt;=PeriodStart,$A73&lt;=PeriodEnd),$E73+ROW()/1000000,0),0)</f>
        <v>0</v>
      </c>
    </row>
    <row r="74" customFormat="false" ht="15" hidden="false" customHeight="false" outlineLevel="0" collapsed="false">
      <c r="A74" s="75"/>
      <c r="B74" s="76"/>
      <c r="C74" s="77"/>
      <c r="D74" s="77"/>
      <c r="E74" s="78"/>
      <c r="F74" s="77"/>
      <c r="G74" s="77"/>
      <c r="H74" s="79" t="n">
        <f aca="false">N(H73)+IFERROR(IF(AND($A74&lt;&gt;"",$E74&lt;&gt;"",$A74&gt;=IF(Search!$E$4="",0,Search!$E$4),$A74&lt;=IF(Search!$E$5="",99999,Search!$E$5),OR(Search!$E$6="",ISNUMBER(SEARCH(Search!$E$6,$C74))),OR(Search!$E$7="All",Search!$E$7="",$D74=Search!$E$7),OR(Search!$E$8="",Search!$E$9="",AND($B74&lt;&gt;"",MOD($B74,1)&gt;=Search!$E$8,MOD($B74,1)&lt;=Search!$E$9))),1,0),0)</f>
        <v>0</v>
      </c>
      <c r="I74" s="79" t="n">
        <f aca="false">IF(H74&gt;N(H73),$E74,0)</f>
        <v>0</v>
      </c>
      <c r="J74" s="79" t="n">
        <f aca="false">IFERROR(IF(AND($A74&lt;&gt;"",$E74&lt;&gt;"",$A74&gt;=PeriodStart,$A74&lt;=PeriodEnd),$E74+ROW()/1000000,0),0)</f>
        <v>0</v>
      </c>
    </row>
    <row r="75" customFormat="false" ht="15" hidden="false" customHeight="false" outlineLevel="0" collapsed="false">
      <c r="A75" s="75"/>
      <c r="B75" s="76"/>
      <c r="C75" s="77"/>
      <c r="D75" s="77"/>
      <c r="E75" s="78"/>
      <c r="F75" s="77"/>
      <c r="G75" s="77"/>
      <c r="H75" s="79" t="n">
        <f aca="false">N(H74)+IFERROR(IF(AND($A75&lt;&gt;"",$E75&lt;&gt;"",$A75&gt;=IF(Search!$E$4="",0,Search!$E$4),$A75&lt;=IF(Search!$E$5="",99999,Search!$E$5),OR(Search!$E$6="",ISNUMBER(SEARCH(Search!$E$6,$C75))),OR(Search!$E$7="All",Search!$E$7="",$D75=Search!$E$7),OR(Search!$E$8="",Search!$E$9="",AND($B75&lt;&gt;"",MOD($B75,1)&gt;=Search!$E$8,MOD($B75,1)&lt;=Search!$E$9))),1,0),0)</f>
        <v>0</v>
      </c>
      <c r="I75" s="79" t="n">
        <f aca="false">IF(H75&gt;N(H74),$E75,0)</f>
        <v>0</v>
      </c>
      <c r="J75" s="79" t="n">
        <f aca="false">IFERROR(IF(AND($A75&lt;&gt;"",$E75&lt;&gt;"",$A75&gt;=PeriodStart,$A75&lt;=PeriodEnd),$E75+ROW()/1000000,0),0)</f>
        <v>0</v>
      </c>
    </row>
    <row r="76" customFormat="false" ht="15" hidden="false" customHeight="false" outlineLevel="0" collapsed="false">
      <c r="A76" s="75"/>
      <c r="B76" s="76"/>
      <c r="C76" s="77"/>
      <c r="D76" s="77"/>
      <c r="E76" s="78"/>
      <c r="F76" s="77"/>
      <c r="G76" s="77"/>
      <c r="H76" s="79" t="n">
        <f aca="false">N(H75)+IFERROR(IF(AND($A76&lt;&gt;"",$E76&lt;&gt;"",$A76&gt;=IF(Search!$E$4="",0,Search!$E$4),$A76&lt;=IF(Search!$E$5="",99999,Search!$E$5),OR(Search!$E$6="",ISNUMBER(SEARCH(Search!$E$6,$C76))),OR(Search!$E$7="All",Search!$E$7="",$D76=Search!$E$7),OR(Search!$E$8="",Search!$E$9="",AND($B76&lt;&gt;"",MOD($B76,1)&gt;=Search!$E$8,MOD($B76,1)&lt;=Search!$E$9))),1,0),0)</f>
        <v>0</v>
      </c>
      <c r="I76" s="79" t="n">
        <f aca="false">IF(H76&gt;N(H75),$E76,0)</f>
        <v>0</v>
      </c>
      <c r="J76" s="79" t="n">
        <f aca="false">IFERROR(IF(AND($A76&lt;&gt;"",$E76&lt;&gt;"",$A76&gt;=PeriodStart,$A76&lt;=PeriodEnd),$E76+ROW()/1000000,0),0)</f>
        <v>0</v>
      </c>
    </row>
    <row r="77" customFormat="false" ht="15" hidden="false" customHeight="false" outlineLevel="0" collapsed="false">
      <c r="A77" s="75"/>
      <c r="B77" s="76"/>
      <c r="C77" s="77"/>
      <c r="D77" s="77"/>
      <c r="E77" s="78"/>
      <c r="F77" s="77"/>
      <c r="G77" s="77"/>
      <c r="H77" s="79" t="n">
        <f aca="false">N(H76)+IFERROR(IF(AND($A77&lt;&gt;"",$E77&lt;&gt;"",$A77&gt;=IF(Search!$E$4="",0,Search!$E$4),$A77&lt;=IF(Search!$E$5="",99999,Search!$E$5),OR(Search!$E$6="",ISNUMBER(SEARCH(Search!$E$6,$C77))),OR(Search!$E$7="All",Search!$E$7="",$D77=Search!$E$7),OR(Search!$E$8="",Search!$E$9="",AND($B77&lt;&gt;"",MOD($B77,1)&gt;=Search!$E$8,MOD($B77,1)&lt;=Search!$E$9))),1,0),0)</f>
        <v>0</v>
      </c>
      <c r="I77" s="79" t="n">
        <f aca="false">IF(H77&gt;N(H76),$E77,0)</f>
        <v>0</v>
      </c>
      <c r="J77" s="79" t="n">
        <f aca="false">IFERROR(IF(AND($A77&lt;&gt;"",$E77&lt;&gt;"",$A77&gt;=PeriodStart,$A77&lt;=PeriodEnd),$E77+ROW()/1000000,0),0)</f>
        <v>0</v>
      </c>
    </row>
    <row r="78" customFormat="false" ht="15" hidden="false" customHeight="false" outlineLevel="0" collapsed="false">
      <c r="A78" s="75"/>
      <c r="B78" s="76"/>
      <c r="C78" s="77"/>
      <c r="D78" s="77"/>
      <c r="E78" s="78"/>
      <c r="F78" s="77"/>
      <c r="G78" s="77"/>
      <c r="H78" s="79" t="n">
        <f aca="false">N(H77)+IFERROR(IF(AND($A78&lt;&gt;"",$E78&lt;&gt;"",$A78&gt;=IF(Search!$E$4="",0,Search!$E$4),$A78&lt;=IF(Search!$E$5="",99999,Search!$E$5),OR(Search!$E$6="",ISNUMBER(SEARCH(Search!$E$6,$C78))),OR(Search!$E$7="All",Search!$E$7="",$D78=Search!$E$7),OR(Search!$E$8="",Search!$E$9="",AND($B78&lt;&gt;"",MOD($B78,1)&gt;=Search!$E$8,MOD($B78,1)&lt;=Search!$E$9))),1,0),0)</f>
        <v>0</v>
      </c>
      <c r="I78" s="79" t="n">
        <f aca="false">IF(H78&gt;N(H77),$E78,0)</f>
        <v>0</v>
      </c>
      <c r="J78" s="79" t="n">
        <f aca="false">IFERROR(IF(AND($A78&lt;&gt;"",$E78&lt;&gt;"",$A78&gt;=PeriodStart,$A78&lt;=PeriodEnd),$E78+ROW()/1000000,0),0)</f>
        <v>0</v>
      </c>
    </row>
    <row r="79" customFormat="false" ht="15" hidden="false" customHeight="false" outlineLevel="0" collapsed="false">
      <c r="A79" s="75"/>
      <c r="B79" s="76"/>
      <c r="C79" s="77"/>
      <c r="D79" s="77"/>
      <c r="E79" s="78"/>
      <c r="F79" s="77"/>
      <c r="G79" s="77"/>
      <c r="H79" s="79" t="n">
        <f aca="false">N(H78)+IFERROR(IF(AND($A79&lt;&gt;"",$E79&lt;&gt;"",$A79&gt;=IF(Search!$E$4="",0,Search!$E$4),$A79&lt;=IF(Search!$E$5="",99999,Search!$E$5),OR(Search!$E$6="",ISNUMBER(SEARCH(Search!$E$6,$C79))),OR(Search!$E$7="All",Search!$E$7="",$D79=Search!$E$7),OR(Search!$E$8="",Search!$E$9="",AND($B79&lt;&gt;"",MOD($B79,1)&gt;=Search!$E$8,MOD($B79,1)&lt;=Search!$E$9))),1,0),0)</f>
        <v>0</v>
      </c>
      <c r="I79" s="79" t="n">
        <f aca="false">IF(H79&gt;N(H78),$E79,0)</f>
        <v>0</v>
      </c>
      <c r="J79" s="79" t="n">
        <f aca="false">IFERROR(IF(AND($A79&lt;&gt;"",$E79&lt;&gt;"",$A79&gt;=PeriodStart,$A79&lt;=PeriodEnd),$E79+ROW()/1000000,0),0)</f>
        <v>0</v>
      </c>
    </row>
    <row r="80" customFormat="false" ht="15" hidden="false" customHeight="false" outlineLevel="0" collapsed="false">
      <c r="A80" s="75"/>
      <c r="B80" s="76"/>
      <c r="C80" s="77"/>
      <c r="D80" s="77"/>
      <c r="E80" s="78"/>
      <c r="F80" s="77"/>
      <c r="G80" s="77"/>
      <c r="H80" s="79" t="n">
        <f aca="false">N(H79)+IFERROR(IF(AND($A80&lt;&gt;"",$E80&lt;&gt;"",$A80&gt;=IF(Search!$E$4="",0,Search!$E$4),$A80&lt;=IF(Search!$E$5="",99999,Search!$E$5),OR(Search!$E$6="",ISNUMBER(SEARCH(Search!$E$6,$C80))),OR(Search!$E$7="All",Search!$E$7="",$D80=Search!$E$7),OR(Search!$E$8="",Search!$E$9="",AND($B80&lt;&gt;"",MOD($B80,1)&gt;=Search!$E$8,MOD($B80,1)&lt;=Search!$E$9))),1,0),0)</f>
        <v>0</v>
      </c>
      <c r="I80" s="79" t="n">
        <f aca="false">IF(H80&gt;N(H79),$E80,0)</f>
        <v>0</v>
      </c>
      <c r="J80" s="79" t="n">
        <f aca="false">IFERROR(IF(AND($A80&lt;&gt;"",$E80&lt;&gt;"",$A80&gt;=PeriodStart,$A80&lt;=PeriodEnd),$E80+ROW()/1000000,0),0)</f>
        <v>0</v>
      </c>
    </row>
    <row r="81" customFormat="false" ht="15" hidden="false" customHeight="false" outlineLevel="0" collapsed="false">
      <c r="A81" s="75"/>
      <c r="B81" s="76"/>
      <c r="C81" s="77"/>
      <c r="D81" s="77"/>
      <c r="E81" s="78"/>
      <c r="F81" s="77"/>
      <c r="G81" s="77"/>
      <c r="H81" s="79" t="n">
        <f aca="false">N(H80)+IFERROR(IF(AND($A81&lt;&gt;"",$E81&lt;&gt;"",$A81&gt;=IF(Search!$E$4="",0,Search!$E$4),$A81&lt;=IF(Search!$E$5="",99999,Search!$E$5),OR(Search!$E$6="",ISNUMBER(SEARCH(Search!$E$6,$C81))),OR(Search!$E$7="All",Search!$E$7="",$D81=Search!$E$7),OR(Search!$E$8="",Search!$E$9="",AND($B81&lt;&gt;"",MOD($B81,1)&gt;=Search!$E$8,MOD($B81,1)&lt;=Search!$E$9))),1,0),0)</f>
        <v>0</v>
      </c>
      <c r="I81" s="79" t="n">
        <f aca="false">IF(H81&gt;N(H80),$E81,0)</f>
        <v>0</v>
      </c>
      <c r="J81" s="79" t="n">
        <f aca="false">IFERROR(IF(AND($A81&lt;&gt;"",$E81&lt;&gt;"",$A81&gt;=PeriodStart,$A81&lt;=PeriodEnd),$E81+ROW()/1000000,0),0)</f>
        <v>0</v>
      </c>
    </row>
    <row r="82" customFormat="false" ht="15" hidden="false" customHeight="false" outlineLevel="0" collapsed="false">
      <c r="A82" s="75"/>
      <c r="B82" s="76"/>
      <c r="C82" s="77"/>
      <c r="D82" s="77"/>
      <c r="E82" s="78"/>
      <c r="F82" s="77"/>
      <c r="G82" s="77"/>
      <c r="H82" s="79" t="n">
        <f aca="false">N(H81)+IFERROR(IF(AND($A82&lt;&gt;"",$E82&lt;&gt;"",$A82&gt;=IF(Search!$E$4="",0,Search!$E$4),$A82&lt;=IF(Search!$E$5="",99999,Search!$E$5),OR(Search!$E$6="",ISNUMBER(SEARCH(Search!$E$6,$C82))),OR(Search!$E$7="All",Search!$E$7="",$D82=Search!$E$7),OR(Search!$E$8="",Search!$E$9="",AND($B82&lt;&gt;"",MOD($B82,1)&gt;=Search!$E$8,MOD($B82,1)&lt;=Search!$E$9))),1,0),0)</f>
        <v>0</v>
      </c>
      <c r="I82" s="79" t="n">
        <f aca="false">IF(H82&gt;N(H81),$E82,0)</f>
        <v>0</v>
      </c>
      <c r="J82" s="79" t="n">
        <f aca="false">IFERROR(IF(AND($A82&lt;&gt;"",$E82&lt;&gt;"",$A82&gt;=PeriodStart,$A82&lt;=PeriodEnd),$E82+ROW()/1000000,0),0)</f>
        <v>0</v>
      </c>
    </row>
    <row r="83" customFormat="false" ht="15" hidden="false" customHeight="false" outlineLevel="0" collapsed="false">
      <c r="A83" s="75"/>
      <c r="B83" s="76"/>
      <c r="C83" s="77"/>
      <c r="D83" s="77"/>
      <c r="E83" s="78"/>
      <c r="F83" s="77"/>
      <c r="G83" s="77"/>
      <c r="H83" s="79" t="n">
        <f aca="false">N(H82)+IFERROR(IF(AND($A83&lt;&gt;"",$E83&lt;&gt;"",$A83&gt;=IF(Search!$E$4="",0,Search!$E$4),$A83&lt;=IF(Search!$E$5="",99999,Search!$E$5),OR(Search!$E$6="",ISNUMBER(SEARCH(Search!$E$6,$C83))),OR(Search!$E$7="All",Search!$E$7="",$D83=Search!$E$7),OR(Search!$E$8="",Search!$E$9="",AND($B83&lt;&gt;"",MOD($B83,1)&gt;=Search!$E$8,MOD($B83,1)&lt;=Search!$E$9))),1,0),0)</f>
        <v>0</v>
      </c>
      <c r="I83" s="79" t="n">
        <f aca="false">IF(H83&gt;N(H82),$E83,0)</f>
        <v>0</v>
      </c>
      <c r="J83" s="79" t="n">
        <f aca="false">IFERROR(IF(AND($A83&lt;&gt;"",$E83&lt;&gt;"",$A83&gt;=PeriodStart,$A83&lt;=PeriodEnd),$E83+ROW()/1000000,0),0)</f>
        <v>0</v>
      </c>
    </row>
    <row r="84" customFormat="false" ht="15" hidden="false" customHeight="false" outlineLevel="0" collapsed="false">
      <c r="A84" s="75"/>
      <c r="B84" s="76"/>
      <c r="C84" s="77"/>
      <c r="D84" s="77"/>
      <c r="E84" s="78"/>
      <c r="F84" s="77"/>
      <c r="G84" s="77"/>
      <c r="H84" s="79" t="n">
        <f aca="false">N(H83)+IFERROR(IF(AND($A84&lt;&gt;"",$E84&lt;&gt;"",$A84&gt;=IF(Search!$E$4="",0,Search!$E$4),$A84&lt;=IF(Search!$E$5="",99999,Search!$E$5),OR(Search!$E$6="",ISNUMBER(SEARCH(Search!$E$6,$C84))),OR(Search!$E$7="All",Search!$E$7="",$D84=Search!$E$7),OR(Search!$E$8="",Search!$E$9="",AND($B84&lt;&gt;"",MOD($B84,1)&gt;=Search!$E$8,MOD($B84,1)&lt;=Search!$E$9))),1,0),0)</f>
        <v>0</v>
      </c>
      <c r="I84" s="79" t="n">
        <f aca="false">IF(H84&gt;N(H83),$E84,0)</f>
        <v>0</v>
      </c>
      <c r="J84" s="79" t="n">
        <f aca="false">IFERROR(IF(AND($A84&lt;&gt;"",$E84&lt;&gt;"",$A84&gt;=PeriodStart,$A84&lt;=PeriodEnd),$E84+ROW()/1000000,0),0)</f>
        <v>0</v>
      </c>
    </row>
    <row r="85" customFormat="false" ht="15" hidden="false" customHeight="false" outlineLevel="0" collapsed="false">
      <c r="A85" s="75"/>
      <c r="B85" s="76"/>
      <c r="C85" s="77"/>
      <c r="D85" s="77"/>
      <c r="E85" s="78"/>
      <c r="F85" s="77"/>
      <c r="G85" s="77"/>
      <c r="H85" s="79" t="n">
        <f aca="false">N(H84)+IFERROR(IF(AND($A85&lt;&gt;"",$E85&lt;&gt;"",$A85&gt;=IF(Search!$E$4="",0,Search!$E$4),$A85&lt;=IF(Search!$E$5="",99999,Search!$E$5),OR(Search!$E$6="",ISNUMBER(SEARCH(Search!$E$6,$C85))),OR(Search!$E$7="All",Search!$E$7="",$D85=Search!$E$7),OR(Search!$E$8="",Search!$E$9="",AND($B85&lt;&gt;"",MOD($B85,1)&gt;=Search!$E$8,MOD($B85,1)&lt;=Search!$E$9))),1,0),0)</f>
        <v>0</v>
      </c>
      <c r="I85" s="79" t="n">
        <f aca="false">IF(H85&gt;N(H84),$E85,0)</f>
        <v>0</v>
      </c>
      <c r="J85" s="79" t="n">
        <f aca="false">IFERROR(IF(AND($A85&lt;&gt;"",$E85&lt;&gt;"",$A85&gt;=PeriodStart,$A85&lt;=PeriodEnd),$E85+ROW()/1000000,0),0)</f>
        <v>0</v>
      </c>
    </row>
    <row r="86" customFormat="false" ht="15" hidden="false" customHeight="false" outlineLevel="0" collapsed="false">
      <c r="A86" s="75"/>
      <c r="B86" s="76"/>
      <c r="C86" s="77"/>
      <c r="D86" s="77"/>
      <c r="E86" s="78"/>
      <c r="F86" s="77"/>
      <c r="G86" s="77"/>
      <c r="H86" s="79" t="n">
        <f aca="false">N(H85)+IFERROR(IF(AND($A86&lt;&gt;"",$E86&lt;&gt;"",$A86&gt;=IF(Search!$E$4="",0,Search!$E$4),$A86&lt;=IF(Search!$E$5="",99999,Search!$E$5),OR(Search!$E$6="",ISNUMBER(SEARCH(Search!$E$6,$C86))),OR(Search!$E$7="All",Search!$E$7="",$D86=Search!$E$7),OR(Search!$E$8="",Search!$E$9="",AND($B86&lt;&gt;"",MOD($B86,1)&gt;=Search!$E$8,MOD($B86,1)&lt;=Search!$E$9))),1,0),0)</f>
        <v>0</v>
      </c>
      <c r="I86" s="79" t="n">
        <f aca="false">IF(H86&gt;N(H85),$E86,0)</f>
        <v>0</v>
      </c>
      <c r="J86" s="79" t="n">
        <f aca="false">IFERROR(IF(AND($A86&lt;&gt;"",$E86&lt;&gt;"",$A86&gt;=PeriodStart,$A86&lt;=PeriodEnd),$E86+ROW()/1000000,0),0)</f>
        <v>0</v>
      </c>
    </row>
    <row r="87" customFormat="false" ht="15" hidden="false" customHeight="false" outlineLevel="0" collapsed="false">
      <c r="A87" s="75"/>
      <c r="B87" s="76"/>
      <c r="C87" s="77"/>
      <c r="D87" s="77"/>
      <c r="E87" s="78"/>
      <c r="F87" s="77"/>
      <c r="G87" s="77"/>
      <c r="H87" s="79" t="n">
        <f aca="false">N(H86)+IFERROR(IF(AND($A87&lt;&gt;"",$E87&lt;&gt;"",$A87&gt;=IF(Search!$E$4="",0,Search!$E$4),$A87&lt;=IF(Search!$E$5="",99999,Search!$E$5),OR(Search!$E$6="",ISNUMBER(SEARCH(Search!$E$6,$C87))),OR(Search!$E$7="All",Search!$E$7="",$D87=Search!$E$7),OR(Search!$E$8="",Search!$E$9="",AND($B87&lt;&gt;"",MOD($B87,1)&gt;=Search!$E$8,MOD($B87,1)&lt;=Search!$E$9))),1,0),0)</f>
        <v>0</v>
      </c>
      <c r="I87" s="79" t="n">
        <f aca="false">IF(H87&gt;N(H86),$E87,0)</f>
        <v>0</v>
      </c>
      <c r="J87" s="79" t="n">
        <f aca="false">IFERROR(IF(AND($A87&lt;&gt;"",$E87&lt;&gt;"",$A87&gt;=PeriodStart,$A87&lt;=PeriodEnd),$E87+ROW()/1000000,0),0)</f>
        <v>0</v>
      </c>
    </row>
    <row r="88" customFormat="false" ht="15" hidden="false" customHeight="false" outlineLevel="0" collapsed="false">
      <c r="A88" s="75"/>
      <c r="B88" s="76"/>
      <c r="C88" s="77"/>
      <c r="D88" s="77"/>
      <c r="E88" s="78"/>
      <c r="F88" s="77"/>
      <c r="G88" s="77"/>
      <c r="H88" s="79" t="n">
        <f aca="false">N(H87)+IFERROR(IF(AND($A88&lt;&gt;"",$E88&lt;&gt;"",$A88&gt;=IF(Search!$E$4="",0,Search!$E$4),$A88&lt;=IF(Search!$E$5="",99999,Search!$E$5),OR(Search!$E$6="",ISNUMBER(SEARCH(Search!$E$6,$C88))),OR(Search!$E$7="All",Search!$E$7="",$D88=Search!$E$7),OR(Search!$E$8="",Search!$E$9="",AND($B88&lt;&gt;"",MOD($B88,1)&gt;=Search!$E$8,MOD($B88,1)&lt;=Search!$E$9))),1,0),0)</f>
        <v>0</v>
      </c>
      <c r="I88" s="79" t="n">
        <f aca="false">IF(H88&gt;N(H87),$E88,0)</f>
        <v>0</v>
      </c>
      <c r="J88" s="79" t="n">
        <f aca="false">IFERROR(IF(AND($A88&lt;&gt;"",$E88&lt;&gt;"",$A88&gt;=PeriodStart,$A88&lt;=PeriodEnd),$E88+ROW()/1000000,0),0)</f>
        <v>0</v>
      </c>
    </row>
    <row r="89" customFormat="false" ht="15" hidden="false" customHeight="false" outlineLevel="0" collapsed="false">
      <c r="A89" s="75"/>
      <c r="B89" s="76"/>
      <c r="C89" s="77"/>
      <c r="D89" s="77"/>
      <c r="E89" s="78"/>
      <c r="F89" s="77"/>
      <c r="G89" s="77"/>
      <c r="H89" s="79" t="n">
        <f aca="false">N(H88)+IFERROR(IF(AND($A89&lt;&gt;"",$E89&lt;&gt;"",$A89&gt;=IF(Search!$E$4="",0,Search!$E$4),$A89&lt;=IF(Search!$E$5="",99999,Search!$E$5),OR(Search!$E$6="",ISNUMBER(SEARCH(Search!$E$6,$C89))),OR(Search!$E$7="All",Search!$E$7="",$D89=Search!$E$7),OR(Search!$E$8="",Search!$E$9="",AND($B89&lt;&gt;"",MOD($B89,1)&gt;=Search!$E$8,MOD($B89,1)&lt;=Search!$E$9))),1,0),0)</f>
        <v>0</v>
      </c>
      <c r="I89" s="79" t="n">
        <f aca="false">IF(H89&gt;N(H88),$E89,0)</f>
        <v>0</v>
      </c>
      <c r="J89" s="79" t="n">
        <f aca="false">IFERROR(IF(AND($A89&lt;&gt;"",$E89&lt;&gt;"",$A89&gt;=PeriodStart,$A89&lt;=PeriodEnd),$E89+ROW()/1000000,0),0)</f>
        <v>0</v>
      </c>
    </row>
    <row r="90" customFormat="false" ht="15" hidden="false" customHeight="false" outlineLevel="0" collapsed="false">
      <c r="A90" s="75"/>
      <c r="B90" s="76"/>
      <c r="C90" s="77"/>
      <c r="D90" s="77"/>
      <c r="E90" s="78"/>
      <c r="F90" s="77"/>
      <c r="G90" s="77"/>
      <c r="H90" s="79" t="n">
        <f aca="false">N(H89)+IFERROR(IF(AND($A90&lt;&gt;"",$E90&lt;&gt;"",$A90&gt;=IF(Search!$E$4="",0,Search!$E$4),$A90&lt;=IF(Search!$E$5="",99999,Search!$E$5),OR(Search!$E$6="",ISNUMBER(SEARCH(Search!$E$6,$C90))),OR(Search!$E$7="All",Search!$E$7="",$D90=Search!$E$7),OR(Search!$E$8="",Search!$E$9="",AND($B90&lt;&gt;"",MOD($B90,1)&gt;=Search!$E$8,MOD($B90,1)&lt;=Search!$E$9))),1,0),0)</f>
        <v>0</v>
      </c>
      <c r="I90" s="79" t="n">
        <f aca="false">IF(H90&gt;N(H89),$E90,0)</f>
        <v>0</v>
      </c>
      <c r="J90" s="79" t="n">
        <f aca="false">IFERROR(IF(AND($A90&lt;&gt;"",$E90&lt;&gt;"",$A90&gt;=PeriodStart,$A90&lt;=PeriodEnd),$E90+ROW()/1000000,0),0)</f>
        <v>0</v>
      </c>
    </row>
    <row r="91" customFormat="false" ht="15" hidden="false" customHeight="false" outlineLevel="0" collapsed="false">
      <c r="A91" s="75"/>
      <c r="B91" s="76"/>
      <c r="C91" s="77"/>
      <c r="D91" s="77"/>
      <c r="E91" s="78"/>
      <c r="F91" s="77"/>
      <c r="G91" s="77"/>
      <c r="H91" s="79" t="n">
        <f aca="false">N(H90)+IFERROR(IF(AND($A91&lt;&gt;"",$E91&lt;&gt;"",$A91&gt;=IF(Search!$E$4="",0,Search!$E$4),$A91&lt;=IF(Search!$E$5="",99999,Search!$E$5),OR(Search!$E$6="",ISNUMBER(SEARCH(Search!$E$6,$C91))),OR(Search!$E$7="All",Search!$E$7="",$D91=Search!$E$7),OR(Search!$E$8="",Search!$E$9="",AND($B91&lt;&gt;"",MOD($B91,1)&gt;=Search!$E$8,MOD($B91,1)&lt;=Search!$E$9))),1,0),0)</f>
        <v>0</v>
      </c>
      <c r="I91" s="79" t="n">
        <f aca="false">IF(H91&gt;N(H90),$E91,0)</f>
        <v>0</v>
      </c>
      <c r="J91" s="79" t="n">
        <f aca="false">IFERROR(IF(AND($A91&lt;&gt;"",$E91&lt;&gt;"",$A91&gt;=PeriodStart,$A91&lt;=PeriodEnd),$E91+ROW()/1000000,0),0)</f>
        <v>0</v>
      </c>
    </row>
    <row r="92" customFormat="false" ht="15" hidden="false" customHeight="false" outlineLevel="0" collapsed="false">
      <c r="A92" s="75"/>
      <c r="B92" s="76"/>
      <c r="C92" s="77"/>
      <c r="D92" s="77"/>
      <c r="E92" s="78"/>
      <c r="F92" s="77"/>
      <c r="G92" s="77"/>
      <c r="H92" s="79" t="n">
        <f aca="false">N(H91)+IFERROR(IF(AND($A92&lt;&gt;"",$E92&lt;&gt;"",$A92&gt;=IF(Search!$E$4="",0,Search!$E$4),$A92&lt;=IF(Search!$E$5="",99999,Search!$E$5),OR(Search!$E$6="",ISNUMBER(SEARCH(Search!$E$6,$C92))),OR(Search!$E$7="All",Search!$E$7="",$D92=Search!$E$7),OR(Search!$E$8="",Search!$E$9="",AND($B92&lt;&gt;"",MOD($B92,1)&gt;=Search!$E$8,MOD($B92,1)&lt;=Search!$E$9))),1,0),0)</f>
        <v>0</v>
      </c>
      <c r="I92" s="79" t="n">
        <f aca="false">IF(H92&gt;N(H91),$E92,0)</f>
        <v>0</v>
      </c>
      <c r="J92" s="79" t="n">
        <f aca="false">IFERROR(IF(AND($A92&lt;&gt;"",$E92&lt;&gt;"",$A92&gt;=PeriodStart,$A92&lt;=PeriodEnd),$E92+ROW()/1000000,0),0)</f>
        <v>0</v>
      </c>
    </row>
    <row r="93" customFormat="false" ht="15" hidden="false" customHeight="false" outlineLevel="0" collapsed="false">
      <c r="A93" s="75"/>
      <c r="B93" s="76"/>
      <c r="C93" s="77"/>
      <c r="D93" s="77"/>
      <c r="E93" s="78"/>
      <c r="F93" s="77"/>
      <c r="G93" s="77"/>
      <c r="H93" s="79" t="n">
        <f aca="false">N(H92)+IFERROR(IF(AND($A93&lt;&gt;"",$E93&lt;&gt;"",$A93&gt;=IF(Search!$E$4="",0,Search!$E$4),$A93&lt;=IF(Search!$E$5="",99999,Search!$E$5),OR(Search!$E$6="",ISNUMBER(SEARCH(Search!$E$6,$C93))),OR(Search!$E$7="All",Search!$E$7="",$D93=Search!$E$7),OR(Search!$E$8="",Search!$E$9="",AND($B93&lt;&gt;"",MOD($B93,1)&gt;=Search!$E$8,MOD($B93,1)&lt;=Search!$E$9))),1,0),0)</f>
        <v>0</v>
      </c>
      <c r="I93" s="79" t="n">
        <f aca="false">IF(H93&gt;N(H92),$E93,0)</f>
        <v>0</v>
      </c>
      <c r="J93" s="79" t="n">
        <f aca="false">IFERROR(IF(AND($A93&lt;&gt;"",$E93&lt;&gt;"",$A93&gt;=PeriodStart,$A93&lt;=PeriodEnd),$E93+ROW()/1000000,0),0)</f>
        <v>0</v>
      </c>
    </row>
    <row r="94" customFormat="false" ht="15" hidden="false" customHeight="false" outlineLevel="0" collapsed="false">
      <c r="A94" s="75"/>
      <c r="B94" s="76"/>
      <c r="C94" s="77"/>
      <c r="D94" s="77"/>
      <c r="E94" s="78"/>
      <c r="F94" s="77"/>
      <c r="G94" s="77"/>
      <c r="H94" s="79" t="n">
        <f aca="false">N(H93)+IFERROR(IF(AND($A94&lt;&gt;"",$E94&lt;&gt;"",$A94&gt;=IF(Search!$E$4="",0,Search!$E$4),$A94&lt;=IF(Search!$E$5="",99999,Search!$E$5),OR(Search!$E$6="",ISNUMBER(SEARCH(Search!$E$6,$C94))),OR(Search!$E$7="All",Search!$E$7="",$D94=Search!$E$7),OR(Search!$E$8="",Search!$E$9="",AND($B94&lt;&gt;"",MOD($B94,1)&gt;=Search!$E$8,MOD($B94,1)&lt;=Search!$E$9))),1,0),0)</f>
        <v>0</v>
      </c>
      <c r="I94" s="79" t="n">
        <f aca="false">IF(H94&gt;N(H93),$E94,0)</f>
        <v>0</v>
      </c>
      <c r="J94" s="79" t="n">
        <f aca="false">IFERROR(IF(AND($A94&lt;&gt;"",$E94&lt;&gt;"",$A94&gt;=PeriodStart,$A94&lt;=PeriodEnd),$E94+ROW()/1000000,0),0)</f>
        <v>0</v>
      </c>
    </row>
    <row r="95" customFormat="false" ht="15" hidden="false" customHeight="false" outlineLevel="0" collapsed="false">
      <c r="A95" s="75"/>
      <c r="B95" s="76"/>
      <c r="C95" s="77"/>
      <c r="D95" s="77"/>
      <c r="E95" s="78"/>
      <c r="F95" s="77"/>
      <c r="G95" s="77"/>
      <c r="H95" s="79" t="n">
        <f aca="false">N(H94)+IFERROR(IF(AND($A95&lt;&gt;"",$E95&lt;&gt;"",$A95&gt;=IF(Search!$E$4="",0,Search!$E$4),$A95&lt;=IF(Search!$E$5="",99999,Search!$E$5),OR(Search!$E$6="",ISNUMBER(SEARCH(Search!$E$6,$C95))),OR(Search!$E$7="All",Search!$E$7="",$D95=Search!$E$7),OR(Search!$E$8="",Search!$E$9="",AND($B95&lt;&gt;"",MOD($B95,1)&gt;=Search!$E$8,MOD($B95,1)&lt;=Search!$E$9))),1,0),0)</f>
        <v>0</v>
      </c>
      <c r="I95" s="79" t="n">
        <f aca="false">IF(H95&gt;N(H94),$E95,0)</f>
        <v>0</v>
      </c>
      <c r="J95" s="79" t="n">
        <f aca="false">IFERROR(IF(AND($A95&lt;&gt;"",$E95&lt;&gt;"",$A95&gt;=PeriodStart,$A95&lt;=PeriodEnd),$E95+ROW()/1000000,0),0)</f>
        <v>0</v>
      </c>
    </row>
    <row r="96" customFormat="false" ht="15" hidden="false" customHeight="false" outlineLevel="0" collapsed="false">
      <c r="A96" s="75"/>
      <c r="B96" s="76"/>
      <c r="C96" s="77"/>
      <c r="D96" s="77"/>
      <c r="E96" s="78"/>
      <c r="F96" s="77"/>
      <c r="G96" s="77"/>
      <c r="H96" s="79" t="n">
        <f aca="false">N(H95)+IFERROR(IF(AND($A96&lt;&gt;"",$E96&lt;&gt;"",$A96&gt;=IF(Search!$E$4="",0,Search!$E$4),$A96&lt;=IF(Search!$E$5="",99999,Search!$E$5),OR(Search!$E$6="",ISNUMBER(SEARCH(Search!$E$6,$C96))),OR(Search!$E$7="All",Search!$E$7="",$D96=Search!$E$7),OR(Search!$E$8="",Search!$E$9="",AND($B96&lt;&gt;"",MOD($B96,1)&gt;=Search!$E$8,MOD($B96,1)&lt;=Search!$E$9))),1,0),0)</f>
        <v>0</v>
      </c>
      <c r="I96" s="79" t="n">
        <f aca="false">IF(H96&gt;N(H95),$E96,0)</f>
        <v>0</v>
      </c>
      <c r="J96" s="79" t="n">
        <f aca="false">IFERROR(IF(AND($A96&lt;&gt;"",$E96&lt;&gt;"",$A96&gt;=PeriodStart,$A96&lt;=PeriodEnd),$E96+ROW()/1000000,0),0)</f>
        <v>0</v>
      </c>
    </row>
    <row r="97" customFormat="false" ht="15" hidden="false" customHeight="false" outlineLevel="0" collapsed="false">
      <c r="A97" s="75"/>
      <c r="B97" s="76"/>
      <c r="C97" s="77"/>
      <c r="D97" s="77"/>
      <c r="E97" s="78"/>
      <c r="F97" s="77"/>
      <c r="G97" s="77"/>
      <c r="H97" s="79" t="n">
        <f aca="false">N(H96)+IFERROR(IF(AND($A97&lt;&gt;"",$E97&lt;&gt;"",$A97&gt;=IF(Search!$E$4="",0,Search!$E$4),$A97&lt;=IF(Search!$E$5="",99999,Search!$E$5),OR(Search!$E$6="",ISNUMBER(SEARCH(Search!$E$6,$C97))),OR(Search!$E$7="All",Search!$E$7="",$D97=Search!$E$7),OR(Search!$E$8="",Search!$E$9="",AND($B97&lt;&gt;"",MOD($B97,1)&gt;=Search!$E$8,MOD($B97,1)&lt;=Search!$E$9))),1,0),0)</f>
        <v>0</v>
      </c>
      <c r="I97" s="79" t="n">
        <f aca="false">IF(H97&gt;N(H96),$E97,0)</f>
        <v>0</v>
      </c>
      <c r="J97" s="79" t="n">
        <f aca="false">IFERROR(IF(AND($A97&lt;&gt;"",$E97&lt;&gt;"",$A97&gt;=PeriodStart,$A97&lt;=PeriodEnd),$E97+ROW()/1000000,0),0)</f>
        <v>0</v>
      </c>
    </row>
    <row r="98" customFormat="false" ht="15" hidden="false" customHeight="false" outlineLevel="0" collapsed="false">
      <c r="A98" s="75"/>
      <c r="B98" s="76"/>
      <c r="C98" s="77"/>
      <c r="D98" s="77"/>
      <c r="E98" s="78"/>
      <c r="F98" s="77"/>
      <c r="G98" s="77"/>
      <c r="H98" s="79" t="n">
        <f aca="false">N(H97)+IFERROR(IF(AND($A98&lt;&gt;"",$E98&lt;&gt;"",$A98&gt;=IF(Search!$E$4="",0,Search!$E$4),$A98&lt;=IF(Search!$E$5="",99999,Search!$E$5),OR(Search!$E$6="",ISNUMBER(SEARCH(Search!$E$6,$C98))),OR(Search!$E$7="All",Search!$E$7="",$D98=Search!$E$7),OR(Search!$E$8="",Search!$E$9="",AND($B98&lt;&gt;"",MOD($B98,1)&gt;=Search!$E$8,MOD($B98,1)&lt;=Search!$E$9))),1,0),0)</f>
        <v>0</v>
      </c>
      <c r="I98" s="79" t="n">
        <f aca="false">IF(H98&gt;N(H97),$E98,0)</f>
        <v>0</v>
      </c>
      <c r="J98" s="79" t="n">
        <f aca="false">IFERROR(IF(AND($A98&lt;&gt;"",$E98&lt;&gt;"",$A98&gt;=PeriodStart,$A98&lt;=PeriodEnd),$E98+ROW()/1000000,0),0)</f>
        <v>0</v>
      </c>
    </row>
    <row r="99" customFormat="false" ht="15" hidden="false" customHeight="false" outlineLevel="0" collapsed="false">
      <c r="A99" s="75"/>
      <c r="B99" s="76"/>
      <c r="C99" s="77"/>
      <c r="D99" s="77"/>
      <c r="E99" s="78"/>
      <c r="F99" s="77"/>
      <c r="G99" s="77"/>
      <c r="H99" s="79" t="n">
        <f aca="false">N(H98)+IFERROR(IF(AND($A99&lt;&gt;"",$E99&lt;&gt;"",$A99&gt;=IF(Search!$E$4="",0,Search!$E$4),$A99&lt;=IF(Search!$E$5="",99999,Search!$E$5),OR(Search!$E$6="",ISNUMBER(SEARCH(Search!$E$6,$C99))),OR(Search!$E$7="All",Search!$E$7="",$D99=Search!$E$7),OR(Search!$E$8="",Search!$E$9="",AND($B99&lt;&gt;"",MOD($B99,1)&gt;=Search!$E$8,MOD($B99,1)&lt;=Search!$E$9))),1,0),0)</f>
        <v>0</v>
      </c>
      <c r="I99" s="79" t="n">
        <f aca="false">IF(H99&gt;N(H98),$E99,0)</f>
        <v>0</v>
      </c>
      <c r="J99" s="79" t="n">
        <f aca="false">IFERROR(IF(AND($A99&lt;&gt;"",$E99&lt;&gt;"",$A99&gt;=PeriodStart,$A99&lt;=PeriodEnd),$E99+ROW()/1000000,0),0)</f>
        <v>0</v>
      </c>
    </row>
    <row r="100" customFormat="false" ht="15" hidden="false" customHeight="false" outlineLevel="0" collapsed="false">
      <c r="A100" s="75"/>
      <c r="B100" s="76"/>
      <c r="C100" s="77"/>
      <c r="D100" s="77"/>
      <c r="E100" s="78"/>
      <c r="F100" s="77"/>
      <c r="G100" s="77"/>
      <c r="H100" s="79" t="n">
        <f aca="false">N(H99)+IFERROR(IF(AND($A100&lt;&gt;"",$E100&lt;&gt;"",$A100&gt;=IF(Search!$E$4="",0,Search!$E$4),$A100&lt;=IF(Search!$E$5="",99999,Search!$E$5),OR(Search!$E$6="",ISNUMBER(SEARCH(Search!$E$6,$C100))),OR(Search!$E$7="All",Search!$E$7="",$D100=Search!$E$7),OR(Search!$E$8="",Search!$E$9="",AND($B100&lt;&gt;"",MOD($B100,1)&gt;=Search!$E$8,MOD($B100,1)&lt;=Search!$E$9))),1,0),0)</f>
        <v>0</v>
      </c>
      <c r="I100" s="79" t="n">
        <f aca="false">IF(H100&gt;N(H99),$E100,0)</f>
        <v>0</v>
      </c>
      <c r="J100" s="79" t="n">
        <f aca="false">IFERROR(IF(AND($A100&lt;&gt;"",$E100&lt;&gt;"",$A100&gt;=PeriodStart,$A100&lt;=PeriodEnd),$E100+ROW()/1000000,0),0)</f>
        <v>0</v>
      </c>
    </row>
    <row r="101" customFormat="false" ht="15" hidden="false" customHeight="false" outlineLevel="0" collapsed="false">
      <c r="A101" s="75"/>
      <c r="B101" s="76"/>
      <c r="C101" s="77"/>
      <c r="D101" s="77"/>
      <c r="E101" s="78"/>
      <c r="F101" s="77"/>
      <c r="G101" s="77"/>
      <c r="H101" s="79" t="n">
        <f aca="false">N(H100)+IFERROR(IF(AND($A101&lt;&gt;"",$E101&lt;&gt;"",$A101&gt;=IF(Search!$E$4="",0,Search!$E$4),$A101&lt;=IF(Search!$E$5="",99999,Search!$E$5),OR(Search!$E$6="",ISNUMBER(SEARCH(Search!$E$6,$C101))),OR(Search!$E$7="All",Search!$E$7="",$D101=Search!$E$7),OR(Search!$E$8="",Search!$E$9="",AND($B101&lt;&gt;"",MOD($B101,1)&gt;=Search!$E$8,MOD($B101,1)&lt;=Search!$E$9))),1,0),0)</f>
        <v>0</v>
      </c>
      <c r="I101" s="79" t="n">
        <f aca="false">IF(H101&gt;N(H100),$E101,0)</f>
        <v>0</v>
      </c>
      <c r="J101" s="79" t="n">
        <f aca="false">IFERROR(IF(AND($A101&lt;&gt;"",$E101&lt;&gt;"",$A101&gt;=PeriodStart,$A101&lt;=PeriodEnd),$E101+ROW()/1000000,0),0)</f>
        <v>0</v>
      </c>
    </row>
    <row r="102" customFormat="false" ht="15" hidden="false" customHeight="false" outlineLevel="0" collapsed="false">
      <c r="A102" s="75"/>
      <c r="B102" s="76"/>
      <c r="C102" s="77"/>
      <c r="D102" s="77"/>
      <c r="E102" s="78"/>
      <c r="F102" s="77"/>
      <c r="G102" s="77"/>
      <c r="H102" s="79" t="n">
        <f aca="false">N(H101)+IFERROR(IF(AND($A102&lt;&gt;"",$E102&lt;&gt;"",$A102&gt;=IF(Search!$E$4="",0,Search!$E$4),$A102&lt;=IF(Search!$E$5="",99999,Search!$E$5),OR(Search!$E$6="",ISNUMBER(SEARCH(Search!$E$6,$C102))),OR(Search!$E$7="All",Search!$E$7="",$D102=Search!$E$7),OR(Search!$E$8="",Search!$E$9="",AND($B102&lt;&gt;"",MOD($B102,1)&gt;=Search!$E$8,MOD($B102,1)&lt;=Search!$E$9))),1,0),0)</f>
        <v>0</v>
      </c>
      <c r="I102" s="79" t="n">
        <f aca="false">IF(H102&gt;N(H101),$E102,0)</f>
        <v>0</v>
      </c>
      <c r="J102" s="79" t="n">
        <f aca="false">IFERROR(IF(AND($A102&lt;&gt;"",$E102&lt;&gt;"",$A102&gt;=PeriodStart,$A102&lt;=PeriodEnd),$E102+ROW()/1000000,0),0)</f>
        <v>0</v>
      </c>
    </row>
    <row r="103" customFormat="false" ht="15" hidden="false" customHeight="false" outlineLevel="0" collapsed="false">
      <c r="A103" s="75"/>
      <c r="B103" s="76"/>
      <c r="C103" s="77"/>
      <c r="D103" s="77"/>
      <c r="E103" s="78"/>
      <c r="F103" s="77"/>
      <c r="G103" s="77"/>
      <c r="H103" s="79" t="n">
        <f aca="false">N(H102)+IFERROR(IF(AND($A103&lt;&gt;"",$E103&lt;&gt;"",$A103&gt;=IF(Search!$E$4="",0,Search!$E$4),$A103&lt;=IF(Search!$E$5="",99999,Search!$E$5),OR(Search!$E$6="",ISNUMBER(SEARCH(Search!$E$6,$C103))),OR(Search!$E$7="All",Search!$E$7="",$D103=Search!$E$7),OR(Search!$E$8="",Search!$E$9="",AND($B103&lt;&gt;"",MOD($B103,1)&gt;=Search!$E$8,MOD($B103,1)&lt;=Search!$E$9))),1,0),0)</f>
        <v>0</v>
      </c>
      <c r="I103" s="79" t="n">
        <f aca="false">IF(H103&gt;N(H102),$E103,0)</f>
        <v>0</v>
      </c>
      <c r="J103" s="79" t="n">
        <f aca="false">IFERROR(IF(AND($A103&lt;&gt;"",$E103&lt;&gt;"",$A103&gt;=PeriodStart,$A103&lt;=PeriodEnd),$E103+ROW()/1000000,0),0)</f>
        <v>0</v>
      </c>
    </row>
    <row r="104" customFormat="false" ht="15" hidden="false" customHeight="false" outlineLevel="0" collapsed="false">
      <c r="A104" s="75"/>
      <c r="B104" s="76"/>
      <c r="C104" s="77"/>
      <c r="D104" s="77"/>
      <c r="E104" s="78"/>
      <c r="F104" s="77"/>
      <c r="G104" s="77"/>
      <c r="H104" s="79" t="n">
        <f aca="false">N(H103)+IFERROR(IF(AND($A104&lt;&gt;"",$E104&lt;&gt;"",$A104&gt;=IF(Search!$E$4="",0,Search!$E$4),$A104&lt;=IF(Search!$E$5="",99999,Search!$E$5),OR(Search!$E$6="",ISNUMBER(SEARCH(Search!$E$6,$C104))),OR(Search!$E$7="All",Search!$E$7="",$D104=Search!$E$7),OR(Search!$E$8="",Search!$E$9="",AND($B104&lt;&gt;"",MOD($B104,1)&gt;=Search!$E$8,MOD($B104,1)&lt;=Search!$E$9))),1,0),0)</f>
        <v>0</v>
      </c>
      <c r="I104" s="79" t="n">
        <f aca="false">IF(H104&gt;N(H103),$E104,0)</f>
        <v>0</v>
      </c>
      <c r="J104" s="79" t="n">
        <f aca="false">IFERROR(IF(AND($A104&lt;&gt;"",$E104&lt;&gt;"",$A104&gt;=PeriodStart,$A104&lt;=PeriodEnd),$E104+ROW()/1000000,0),0)</f>
        <v>0</v>
      </c>
    </row>
    <row r="105" customFormat="false" ht="15" hidden="false" customHeight="false" outlineLevel="0" collapsed="false">
      <c r="A105" s="75"/>
      <c r="B105" s="76"/>
      <c r="C105" s="77"/>
      <c r="D105" s="77"/>
      <c r="E105" s="78"/>
      <c r="F105" s="77"/>
      <c r="G105" s="77"/>
      <c r="H105" s="79" t="n">
        <f aca="false">N(H104)+IFERROR(IF(AND($A105&lt;&gt;"",$E105&lt;&gt;"",$A105&gt;=IF(Search!$E$4="",0,Search!$E$4),$A105&lt;=IF(Search!$E$5="",99999,Search!$E$5),OR(Search!$E$6="",ISNUMBER(SEARCH(Search!$E$6,$C105))),OR(Search!$E$7="All",Search!$E$7="",$D105=Search!$E$7),OR(Search!$E$8="",Search!$E$9="",AND($B105&lt;&gt;"",MOD($B105,1)&gt;=Search!$E$8,MOD($B105,1)&lt;=Search!$E$9))),1,0),0)</f>
        <v>0</v>
      </c>
      <c r="I105" s="79" t="n">
        <f aca="false">IF(H105&gt;N(H104),$E105,0)</f>
        <v>0</v>
      </c>
      <c r="J105" s="79" t="n">
        <f aca="false">IFERROR(IF(AND($A105&lt;&gt;"",$E105&lt;&gt;"",$A105&gt;=PeriodStart,$A105&lt;=PeriodEnd),$E105+ROW()/1000000,0),0)</f>
        <v>0</v>
      </c>
    </row>
    <row r="106" customFormat="false" ht="15" hidden="false" customHeight="false" outlineLevel="0" collapsed="false">
      <c r="A106" s="75"/>
      <c r="B106" s="76"/>
      <c r="C106" s="77"/>
      <c r="D106" s="77"/>
      <c r="E106" s="78"/>
      <c r="F106" s="77"/>
      <c r="G106" s="77"/>
      <c r="H106" s="79" t="n">
        <f aca="false">N(H105)+IFERROR(IF(AND($A106&lt;&gt;"",$E106&lt;&gt;"",$A106&gt;=IF(Search!$E$4="",0,Search!$E$4),$A106&lt;=IF(Search!$E$5="",99999,Search!$E$5),OR(Search!$E$6="",ISNUMBER(SEARCH(Search!$E$6,$C106))),OR(Search!$E$7="All",Search!$E$7="",$D106=Search!$E$7),OR(Search!$E$8="",Search!$E$9="",AND($B106&lt;&gt;"",MOD($B106,1)&gt;=Search!$E$8,MOD($B106,1)&lt;=Search!$E$9))),1,0),0)</f>
        <v>0</v>
      </c>
      <c r="I106" s="79" t="n">
        <f aca="false">IF(H106&gt;N(H105),$E106,0)</f>
        <v>0</v>
      </c>
      <c r="J106" s="79" t="n">
        <f aca="false">IFERROR(IF(AND($A106&lt;&gt;"",$E106&lt;&gt;"",$A106&gt;=PeriodStart,$A106&lt;=PeriodEnd),$E106+ROW()/1000000,0),0)</f>
        <v>0</v>
      </c>
    </row>
    <row r="107" customFormat="false" ht="15" hidden="false" customHeight="false" outlineLevel="0" collapsed="false">
      <c r="A107" s="75"/>
      <c r="B107" s="76"/>
      <c r="C107" s="77"/>
      <c r="D107" s="77"/>
      <c r="E107" s="78"/>
      <c r="F107" s="77"/>
      <c r="G107" s="77"/>
      <c r="H107" s="79" t="n">
        <f aca="false">N(H106)+IFERROR(IF(AND($A107&lt;&gt;"",$E107&lt;&gt;"",$A107&gt;=IF(Search!$E$4="",0,Search!$E$4),$A107&lt;=IF(Search!$E$5="",99999,Search!$E$5),OR(Search!$E$6="",ISNUMBER(SEARCH(Search!$E$6,$C107))),OR(Search!$E$7="All",Search!$E$7="",$D107=Search!$E$7),OR(Search!$E$8="",Search!$E$9="",AND($B107&lt;&gt;"",MOD($B107,1)&gt;=Search!$E$8,MOD($B107,1)&lt;=Search!$E$9))),1,0),0)</f>
        <v>0</v>
      </c>
      <c r="I107" s="79" t="n">
        <f aca="false">IF(H107&gt;N(H106),$E107,0)</f>
        <v>0</v>
      </c>
      <c r="J107" s="79" t="n">
        <f aca="false">IFERROR(IF(AND($A107&lt;&gt;"",$E107&lt;&gt;"",$A107&gt;=PeriodStart,$A107&lt;=PeriodEnd),$E107+ROW()/1000000,0),0)</f>
        <v>0</v>
      </c>
    </row>
    <row r="108" customFormat="false" ht="15" hidden="false" customHeight="false" outlineLevel="0" collapsed="false">
      <c r="A108" s="75"/>
      <c r="B108" s="76"/>
      <c r="C108" s="77"/>
      <c r="D108" s="77"/>
      <c r="E108" s="78"/>
      <c r="F108" s="77"/>
      <c r="G108" s="77"/>
      <c r="H108" s="79" t="n">
        <f aca="false">N(H107)+IFERROR(IF(AND($A108&lt;&gt;"",$E108&lt;&gt;"",$A108&gt;=IF(Search!$E$4="",0,Search!$E$4),$A108&lt;=IF(Search!$E$5="",99999,Search!$E$5),OR(Search!$E$6="",ISNUMBER(SEARCH(Search!$E$6,$C108))),OR(Search!$E$7="All",Search!$E$7="",$D108=Search!$E$7),OR(Search!$E$8="",Search!$E$9="",AND($B108&lt;&gt;"",MOD($B108,1)&gt;=Search!$E$8,MOD($B108,1)&lt;=Search!$E$9))),1,0),0)</f>
        <v>0</v>
      </c>
      <c r="I108" s="79" t="n">
        <f aca="false">IF(H108&gt;N(H107),$E108,0)</f>
        <v>0</v>
      </c>
      <c r="J108" s="79" t="n">
        <f aca="false">IFERROR(IF(AND($A108&lt;&gt;"",$E108&lt;&gt;"",$A108&gt;=PeriodStart,$A108&lt;=PeriodEnd),$E108+ROW()/1000000,0),0)</f>
        <v>0</v>
      </c>
    </row>
    <row r="109" customFormat="false" ht="15" hidden="false" customHeight="false" outlineLevel="0" collapsed="false">
      <c r="A109" s="75"/>
      <c r="B109" s="76"/>
      <c r="C109" s="77"/>
      <c r="D109" s="77"/>
      <c r="E109" s="78"/>
      <c r="F109" s="77"/>
      <c r="G109" s="77"/>
      <c r="H109" s="79" t="n">
        <f aca="false">N(H108)+IFERROR(IF(AND($A109&lt;&gt;"",$E109&lt;&gt;"",$A109&gt;=IF(Search!$E$4="",0,Search!$E$4),$A109&lt;=IF(Search!$E$5="",99999,Search!$E$5),OR(Search!$E$6="",ISNUMBER(SEARCH(Search!$E$6,$C109))),OR(Search!$E$7="All",Search!$E$7="",$D109=Search!$E$7),OR(Search!$E$8="",Search!$E$9="",AND($B109&lt;&gt;"",MOD($B109,1)&gt;=Search!$E$8,MOD($B109,1)&lt;=Search!$E$9))),1,0),0)</f>
        <v>0</v>
      </c>
      <c r="I109" s="79" t="n">
        <f aca="false">IF(H109&gt;N(H108),$E109,0)</f>
        <v>0</v>
      </c>
      <c r="J109" s="79" t="n">
        <f aca="false">IFERROR(IF(AND($A109&lt;&gt;"",$E109&lt;&gt;"",$A109&gt;=PeriodStart,$A109&lt;=PeriodEnd),$E109+ROW()/1000000,0),0)</f>
        <v>0</v>
      </c>
    </row>
    <row r="110" customFormat="false" ht="15" hidden="false" customHeight="false" outlineLevel="0" collapsed="false">
      <c r="A110" s="75"/>
      <c r="B110" s="76"/>
      <c r="C110" s="77"/>
      <c r="D110" s="77"/>
      <c r="E110" s="78"/>
      <c r="F110" s="77"/>
      <c r="G110" s="77"/>
      <c r="H110" s="79" t="n">
        <f aca="false">N(H109)+IFERROR(IF(AND($A110&lt;&gt;"",$E110&lt;&gt;"",$A110&gt;=IF(Search!$E$4="",0,Search!$E$4),$A110&lt;=IF(Search!$E$5="",99999,Search!$E$5),OR(Search!$E$6="",ISNUMBER(SEARCH(Search!$E$6,$C110))),OR(Search!$E$7="All",Search!$E$7="",$D110=Search!$E$7),OR(Search!$E$8="",Search!$E$9="",AND($B110&lt;&gt;"",MOD($B110,1)&gt;=Search!$E$8,MOD($B110,1)&lt;=Search!$E$9))),1,0),0)</f>
        <v>0</v>
      </c>
      <c r="I110" s="79" t="n">
        <f aca="false">IF(H110&gt;N(H109),$E110,0)</f>
        <v>0</v>
      </c>
      <c r="J110" s="79" t="n">
        <f aca="false">IFERROR(IF(AND($A110&lt;&gt;"",$E110&lt;&gt;"",$A110&gt;=PeriodStart,$A110&lt;=PeriodEnd),$E110+ROW()/1000000,0),0)</f>
        <v>0</v>
      </c>
    </row>
    <row r="111" customFormat="false" ht="15" hidden="false" customHeight="false" outlineLevel="0" collapsed="false">
      <c r="A111" s="75"/>
      <c r="B111" s="76"/>
      <c r="C111" s="77"/>
      <c r="D111" s="77"/>
      <c r="E111" s="78"/>
      <c r="F111" s="77"/>
      <c r="G111" s="77"/>
      <c r="H111" s="79" t="n">
        <f aca="false">N(H110)+IFERROR(IF(AND($A111&lt;&gt;"",$E111&lt;&gt;"",$A111&gt;=IF(Search!$E$4="",0,Search!$E$4),$A111&lt;=IF(Search!$E$5="",99999,Search!$E$5),OR(Search!$E$6="",ISNUMBER(SEARCH(Search!$E$6,$C111))),OR(Search!$E$7="All",Search!$E$7="",$D111=Search!$E$7),OR(Search!$E$8="",Search!$E$9="",AND($B111&lt;&gt;"",MOD($B111,1)&gt;=Search!$E$8,MOD($B111,1)&lt;=Search!$E$9))),1,0),0)</f>
        <v>0</v>
      </c>
      <c r="I111" s="79" t="n">
        <f aca="false">IF(H111&gt;N(H110),$E111,0)</f>
        <v>0</v>
      </c>
      <c r="J111" s="79" t="n">
        <f aca="false">IFERROR(IF(AND($A111&lt;&gt;"",$E111&lt;&gt;"",$A111&gt;=PeriodStart,$A111&lt;=PeriodEnd),$E111+ROW()/1000000,0),0)</f>
        <v>0</v>
      </c>
    </row>
    <row r="112" customFormat="false" ht="15" hidden="false" customHeight="false" outlineLevel="0" collapsed="false">
      <c r="A112" s="75"/>
      <c r="B112" s="76"/>
      <c r="C112" s="77"/>
      <c r="D112" s="77"/>
      <c r="E112" s="78"/>
      <c r="F112" s="77"/>
      <c r="G112" s="77"/>
      <c r="H112" s="79" t="n">
        <f aca="false">N(H111)+IFERROR(IF(AND($A112&lt;&gt;"",$E112&lt;&gt;"",$A112&gt;=IF(Search!$E$4="",0,Search!$E$4),$A112&lt;=IF(Search!$E$5="",99999,Search!$E$5),OR(Search!$E$6="",ISNUMBER(SEARCH(Search!$E$6,$C112))),OR(Search!$E$7="All",Search!$E$7="",$D112=Search!$E$7),OR(Search!$E$8="",Search!$E$9="",AND($B112&lt;&gt;"",MOD($B112,1)&gt;=Search!$E$8,MOD($B112,1)&lt;=Search!$E$9))),1,0),0)</f>
        <v>0</v>
      </c>
      <c r="I112" s="79" t="n">
        <f aca="false">IF(H112&gt;N(H111),$E112,0)</f>
        <v>0</v>
      </c>
      <c r="J112" s="79" t="n">
        <f aca="false">IFERROR(IF(AND($A112&lt;&gt;"",$E112&lt;&gt;"",$A112&gt;=PeriodStart,$A112&lt;=PeriodEnd),$E112+ROW()/1000000,0),0)</f>
        <v>0</v>
      </c>
    </row>
    <row r="113" customFormat="false" ht="15" hidden="false" customHeight="false" outlineLevel="0" collapsed="false">
      <c r="A113" s="75"/>
      <c r="B113" s="76"/>
      <c r="C113" s="77"/>
      <c r="D113" s="77"/>
      <c r="E113" s="78"/>
      <c r="F113" s="77"/>
      <c r="G113" s="77"/>
      <c r="H113" s="79" t="n">
        <f aca="false">N(H112)+IFERROR(IF(AND($A113&lt;&gt;"",$E113&lt;&gt;"",$A113&gt;=IF(Search!$E$4="",0,Search!$E$4),$A113&lt;=IF(Search!$E$5="",99999,Search!$E$5),OR(Search!$E$6="",ISNUMBER(SEARCH(Search!$E$6,$C113))),OR(Search!$E$7="All",Search!$E$7="",$D113=Search!$E$7),OR(Search!$E$8="",Search!$E$9="",AND($B113&lt;&gt;"",MOD($B113,1)&gt;=Search!$E$8,MOD($B113,1)&lt;=Search!$E$9))),1,0),0)</f>
        <v>0</v>
      </c>
      <c r="I113" s="79" t="n">
        <f aca="false">IF(H113&gt;N(H112),$E113,0)</f>
        <v>0</v>
      </c>
      <c r="J113" s="79" t="n">
        <f aca="false">IFERROR(IF(AND($A113&lt;&gt;"",$E113&lt;&gt;"",$A113&gt;=PeriodStart,$A113&lt;=PeriodEnd),$E113+ROW()/1000000,0),0)</f>
        <v>0</v>
      </c>
    </row>
    <row r="114" customFormat="false" ht="15" hidden="false" customHeight="false" outlineLevel="0" collapsed="false">
      <c r="A114" s="75"/>
      <c r="B114" s="76"/>
      <c r="C114" s="77"/>
      <c r="D114" s="77"/>
      <c r="E114" s="78"/>
      <c r="F114" s="77"/>
      <c r="G114" s="77"/>
      <c r="H114" s="79" t="n">
        <f aca="false">N(H113)+IFERROR(IF(AND($A114&lt;&gt;"",$E114&lt;&gt;"",$A114&gt;=IF(Search!$E$4="",0,Search!$E$4),$A114&lt;=IF(Search!$E$5="",99999,Search!$E$5),OR(Search!$E$6="",ISNUMBER(SEARCH(Search!$E$6,$C114))),OR(Search!$E$7="All",Search!$E$7="",$D114=Search!$E$7),OR(Search!$E$8="",Search!$E$9="",AND($B114&lt;&gt;"",MOD($B114,1)&gt;=Search!$E$8,MOD($B114,1)&lt;=Search!$E$9))),1,0),0)</f>
        <v>0</v>
      </c>
      <c r="I114" s="79" t="n">
        <f aca="false">IF(H114&gt;N(H113),$E114,0)</f>
        <v>0</v>
      </c>
      <c r="J114" s="79" t="n">
        <f aca="false">IFERROR(IF(AND($A114&lt;&gt;"",$E114&lt;&gt;"",$A114&gt;=PeriodStart,$A114&lt;=PeriodEnd),$E114+ROW()/1000000,0),0)</f>
        <v>0</v>
      </c>
    </row>
    <row r="115" customFormat="false" ht="15" hidden="false" customHeight="false" outlineLevel="0" collapsed="false">
      <c r="A115" s="75"/>
      <c r="B115" s="76"/>
      <c r="C115" s="77"/>
      <c r="D115" s="77"/>
      <c r="E115" s="78"/>
      <c r="F115" s="77"/>
      <c r="G115" s="77"/>
      <c r="H115" s="79" t="n">
        <f aca="false">N(H114)+IFERROR(IF(AND($A115&lt;&gt;"",$E115&lt;&gt;"",$A115&gt;=IF(Search!$E$4="",0,Search!$E$4),$A115&lt;=IF(Search!$E$5="",99999,Search!$E$5),OR(Search!$E$6="",ISNUMBER(SEARCH(Search!$E$6,$C115))),OR(Search!$E$7="All",Search!$E$7="",$D115=Search!$E$7),OR(Search!$E$8="",Search!$E$9="",AND($B115&lt;&gt;"",MOD($B115,1)&gt;=Search!$E$8,MOD($B115,1)&lt;=Search!$E$9))),1,0),0)</f>
        <v>0</v>
      </c>
      <c r="I115" s="79" t="n">
        <f aca="false">IF(H115&gt;N(H114),$E115,0)</f>
        <v>0</v>
      </c>
      <c r="J115" s="79" t="n">
        <f aca="false">IFERROR(IF(AND($A115&lt;&gt;"",$E115&lt;&gt;"",$A115&gt;=PeriodStart,$A115&lt;=PeriodEnd),$E115+ROW()/1000000,0),0)</f>
        <v>0</v>
      </c>
    </row>
    <row r="116" customFormat="false" ht="15" hidden="false" customHeight="false" outlineLevel="0" collapsed="false">
      <c r="A116" s="75"/>
      <c r="B116" s="76"/>
      <c r="C116" s="77"/>
      <c r="D116" s="77"/>
      <c r="E116" s="78"/>
      <c r="F116" s="77"/>
      <c r="G116" s="77"/>
      <c r="H116" s="79" t="n">
        <f aca="false">N(H115)+IFERROR(IF(AND($A116&lt;&gt;"",$E116&lt;&gt;"",$A116&gt;=IF(Search!$E$4="",0,Search!$E$4),$A116&lt;=IF(Search!$E$5="",99999,Search!$E$5),OR(Search!$E$6="",ISNUMBER(SEARCH(Search!$E$6,$C116))),OR(Search!$E$7="All",Search!$E$7="",$D116=Search!$E$7),OR(Search!$E$8="",Search!$E$9="",AND($B116&lt;&gt;"",MOD($B116,1)&gt;=Search!$E$8,MOD($B116,1)&lt;=Search!$E$9))),1,0),0)</f>
        <v>0</v>
      </c>
      <c r="I116" s="79" t="n">
        <f aca="false">IF(H116&gt;N(H115),$E116,0)</f>
        <v>0</v>
      </c>
      <c r="J116" s="79" t="n">
        <f aca="false">IFERROR(IF(AND($A116&lt;&gt;"",$E116&lt;&gt;"",$A116&gt;=PeriodStart,$A116&lt;=PeriodEnd),$E116+ROW()/1000000,0),0)</f>
        <v>0</v>
      </c>
    </row>
    <row r="117" customFormat="false" ht="15" hidden="false" customHeight="false" outlineLevel="0" collapsed="false">
      <c r="A117" s="75"/>
      <c r="B117" s="76"/>
      <c r="C117" s="77"/>
      <c r="D117" s="77"/>
      <c r="E117" s="78"/>
      <c r="F117" s="77"/>
      <c r="G117" s="77"/>
      <c r="H117" s="79" t="n">
        <f aca="false">N(H116)+IFERROR(IF(AND($A117&lt;&gt;"",$E117&lt;&gt;"",$A117&gt;=IF(Search!$E$4="",0,Search!$E$4),$A117&lt;=IF(Search!$E$5="",99999,Search!$E$5),OR(Search!$E$6="",ISNUMBER(SEARCH(Search!$E$6,$C117))),OR(Search!$E$7="All",Search!$E$7="",$D117=Search!$E$7),OR(Search!$E$8="",Search!$E$9="",AND($B117&lt;&gt;"",MOD($B117,1)&gt;=Search!$E$8,MOD($B117,1)&lt;=Search!$E$9))),1,0),0)</f>
        <v>0</v>
      </c>
      <c r="I117" s="79" t="n">
        <f aca="false">IF(H117&gt;N(H116),$E117,0)</f>
        <v>0</v>
      </c>
      <c r="J117" s="79" t="n">
        <f aca="false">IFERROR(IF(AND($A117&lt;&gt;"",$E117&lt;&gt;"",$A117&gt;=PeriodStart,$A117&lt;=PeriodEnd),$E117+ROW()/1000000,0),0)</f>
        <v>0</v>
      </c>
    </row>
    <row r="118" customFormat="false" ht="15" hidden="false" customHeight="false" outlineLevel="0" collapsed="false">
      <c r="A118" s="75"/>
      <c r="B118" s="76"/>
      <c r="C118" s="77"/>
      <c r="D118" s="77"/>
      <c r="E118" s="78"/>
      <c r="F118" s="77"/>
      <c r="G118" s="77"/>
      <c r="H118" s="79" t="n">
        <f aca="false">N(H117)+IFERROR(IF(AND($A118&lt;&gt;"",$E118&lt;&gt;"",$A118&gt;=IF(Search!$E$4="",0,Search!$E$4),$A118&lt;=IF(Search!$E$5="",99999,Search!$E$5),OR(Search!$E$6="",ISNUMBER(SEARCH(Search!$E$6,$C118))),OR(Search!$E$7="All",Search!$E$7="",$D118=Search!$E$7),OR(Search!$E$8="",Search!$E$9="",AND($B118&lt;&gt;"",MOD($B118,1)&gt;=Search!$E$8,MOD($B118,1)&lt;=Search!$E$9))),1,0),0)</f>
        <v>0</v>
      </c>
      <c r="I118" s="79" t="n">
        <f aca="false">IF(H118&gt;N(H117),$E118,0)</f>
        <v>0</v>
      </c>
      <c r="J118" s="79" t="n">
        <f aca="false">IFERROR(IF(AND($A118&lt;&gt;"",$E118&lt;&gt;"",$A118&gt;=PeriodStart,$A118&lt;=PeriodEnd),$E118+ROW()/1000000,0),0)</f>
        <v>0</v>
      </c>
    </row>
    <row r="119" customFormat="false" ht="15" hidden="false" customHeight="false" outlineLevel="0" collapsed="false">
      <c r="A119" s="75"/>
      <c r="B119" s="76"/>
      <c r="C119" s="77"/>
      <c r="D119" s="77"/>
      <c r="E119" s="78"/>
      <c r="F119" s="77"/>
      <c r="G119" s="77"/>
      <c r="H119" s="79" t="n">
        <f aca="false">N(H118)+IFERROR(IF(AND($A119&lt;&gt;"",$E119&lt;&gt;"",$A119&gt;=IF(Search!$E$4="",0,Search!$E$4),$A119&lt;=IF(Search!$E$5="",99999,Search!$E$5),OR(Search!$E$6="",ISNUMBER(SEARCH(Search!$E$6,$C119))),OR(Search!$E$7="All",Search!$E$7="",$D119=Search!$E$7),OR(Search!$E$8="",Search!$E$9="",AND($B119&lt;&gt;"",MOD($B119,1)&gt;=Search!$E$8,MOD($B119,1)&lt;=Search!$E$9))),1,0),0)</f>
        <v>0</v>
      </c>
      <c r="I119" s="79" t="n">
        <f aca="false">IF(H119&gt;N(H118),$E119,0)</f>
        <v>0</v>
      </c>
      <c r="J119" s="79" t="n">
        <f aca="false">IFERROR(IF(AND($A119&lt;&gt;"",$E119&lt;&gt;"",$A119&gt;=PeriodStart,$A119&lt;=PeriodEnd),$E119+ROW()/1000000,0),0)</f>
        <v>0</v>
      </c>
    </row>
    <row r="120" customFormat="false" ht="15" hidden="false" customHeight="false" outlineLevel="0" collapsed="false">
      <c r="A120" s="75"/>
      <c r="B120" s="76"/>
      <c r="C120" s="77"/>
      <c r="D120" s="77"/>
      <c r="E120" s="78"/>
      <c r="F120" s="77"/>
      <c r="G120" s="77"/>
      <c r="H120" s="79" t="n">
        <f aca="false">N(H119)+IFERROR(IF(AND($A120&lt;&gt;"",$E120&lt;&gt;"",$A120&gt;=IF(Search!$E$4="",0,Search!$E$4),$A120&lt;=IF(Search!$E$5="",99999,Search!$E$5),OR(Search!$E$6="",ISNUMBER(SEARCH(Search!$E$6,$C120))),OR(Search!$E$7="All",Search!$E$7="",$D120=Search!$E$7),OR(Search!$E$8="",Search!$E$9="",AND($B120&lt;&gt;"",MOD($B120,1)&gt;=Search!$E$8,MOD($B120,1)&lt;=Search!$E$9))),1,0),0)</f>
        <v>0</v>
      </c>
      <c r="I120" s="79" t="n">
        <f aca="false">IF(H120&gt;N(H119),$E120,0)</f>
        <v>0</v>
      </c>
      <c r="J120" s="79" t="n">
        <f aca="false">IFERROR(IF(AND($A120&lt;&gt;"",$E120&lt;&gt;"",$A120&gt;=PeriodStart,$A120&lt;=PeriodEnd),$E120+ROW()/1000000,0),0)</f>
        <v>0</v>
      </c>
    </row>
    <row r="121" customFormat="false" ht="15" hidden="false" customHeight="false" outlineLevel="0" collapsed="false">
      <c r="A121" s="75"/>
      <c r="B121" s="76"/>
      <c r="C121" s="77"/>
      <c r="D121" s="77"/>
      <c r="E121" s="78"/>
      <c r="F121" s="77"/>
      <c r="G121" s="77"/>
      <c r="H121" s="79" t="n">
        <f aca="false">N(H120)+IFERROR(IF(AND($A121&lt;&gt;"",$E121&lt;&gt;"",$A121&gt;=IF(Search!$E$4="",0,Search!$E$4),$A121&lt;=IF(Search!$E$5="",99999,Search!$E$5),OR(Search!$E$6="",ISNUMBER(SEARCH(Search!$E$6,$C121))),OR(Search!$E$7="All",Search!$E$7="",$D121=Search!$E$7),OR(Search!$E$8="",Search!$E$9="",AND($B121&lt;&gt;"",MOD($B121,1)&gt;=Search!$E$8,MOD($B121,1)&lt;=Search!$E$9))),1,0),0)</f>
        <v>0</v>
      </c>
      <c r="I121" s="79" t="n">
        <f aca="false">IF(H121&gt;N(H120),$E121,0)</f>
        <v>0</v>
      </c>
      <c r="J121" s="79" t="n">
        <f aca="false">IFERROR(IF(AND($A121&lt;&gt;"",$E121&lt;&gt;"",$A121&gt;=PeriodStart,$A121&lt;=PeriodEnd),$E121+ROW()/1000000,0),0)</f>
        <v>0</v>
      </c>
    </row>
    <row r="122" customFormat="false" ht="15" hidden="false" customHeight="false" outlineLevel="0" collapsed="false">
      <c r="A122" s="75"/>
      <c r="B122" s="76"/>
      <c r="C122" s="77"/>
      <c r="D122" s="77"/>
      <c r="E122" s="78"/>
      <c r="F122" s="77"/>
      <c r="G122" s="77"/>
      <c r="H122" s="79" t="n">
        <f aca="false">N(H121)+IFERROR(IF(AND($A122&lt;&gt;"",$E122&lt;&gt;"",$A122&gt;=IF(Search!$E$4="",0,Search!$E$4),$A122&lt;=IF(Search!$E$5="",99999,Search!$E$5),OR(Search!$E$6="",ISNUMBER(SEARCH(Search!$E$6,$C122))),OR(Search!$E$7="All",Search!$E$7="",$D122=Search!$E$7),OR(Search!$E$8="",Search!$E$9="",AND($B122&lt;&gt;"",MOD($B122,1)&gt;=Search!$E$8,MOD($B122,1)&lt;=Search!$E$9))),1,0),0)</f>
        <v>0</v>
      </c>
      <c r="I122" s="79" t="n">
        <f aca="false">IF(H122&gt;N(H121),$E122,0)</f>
        <v>0</v>
      </c>
      <c r="J122" s="79" t="n">
        <f aca="false">IFERROR(IF(AND($A122&lt;&gt;"",$E122&lt;&gt;"",$A122&gt;=PeriodStart,$A122&lt;=PeriodEnd),$E122+ROW()/1000000,0),0)</f>
        <v>0</v>
      </c>
    </row>
    <row r="123" customFormat="false" ht="15" hidden="false" customHeight="false" outlineLevel="0" collapsed="false">
      <c r="A123" s="75"/>
      <c r="B123" s="76"/>
      <c r="C123" s="77"/>
      <c r="D123" s="77"/>
      <c r="E123" s="78"/>
      <c r="F123" s="77"/>
      <c r="G123" s="77"/>
      <c r="H123" s="79" t="n">
        <f aca="false">N(H122)+IFERROR(IF(AND($A123&lt;&gt;"",$E123&lt;&gt;"",$A123&gt;=IF(Search!$E$4="",0,Search!$E$4),$A123&lt;=IF(Search!$E$5="",99999,Search!$E$5),OR(Search!$E$6="",ISNUMBER(SEARCH(Search!$E$6,$C123))),OR(Search!$E$7="All",Search!$E$7="",$D123=Search!$E$7),OR(Search!$E$8="",Search!$E$9="",AND($B123&lt;&gt;"",MOD($B123,1)&gt;=Search!$E$8,MOD($B123,1)&lt;=Search!$E$9))),1,0),0)</f>
        <v>0</v>
      </c>
      <c r="I123" s="79" t="n">
        <f aca="false">IF(H123&gt;N(H122),$E123,0)</f>
        <v>0</v>
      </c>
      <c r="J123" s="79" t="n">
        <f aca="false">IFERROR(IF(AND($A123&lt;&gt;"",$E123&lt;&gt;"",$A123&gt;=PeriodStart,$A123&lt;=PeriodEnd),$E123+ROW()/1000000,0),0)</f>
        <v>0</v>
      </c>
    </row>
    <row r="124" customFormat="false" ht="15" hidden="false" customHeight="false" outlineLevel="0" collapsed="false">
      <c r="A124" s="75"/>
      <c r="B124" s="76"/>
      <c r="C124" s="77"/>
      <c r="D124" s="77"/>
      <c r="E124" s="78"/>
      <c r="F124" s="77"/>
      <c r="G124" s="77"/>
      <c r="H124" s="79" t="n">
        <f aca="false">N(H123)+IFERROR(IF(AND($A124&lt;&gt;"",$E124&lt;&gt;"",$A124&gt;=IF(Search!$E$4="",0,Search!$E$4),$A124&lt;=IF(Search!$E$5="",99999,Search!$E$5),OR(Search!$E$6="",ISNUMBER(SEARCH(Search!$E$6,$C124))),OR(Search!$E$7="All",Search!$E$7="",$D124=Search!$E$7),OR(Search!$E$8="",Search!$E$9="",AND($B124&lt;&gt;"",MOD($B124,1)&gt;=Search!$E$8,MOD($B124,1)&lt;=Search!$E$9))),1,0),0)</f>
        <v>0</v>
      </c>
      <c r="I124" s="79" t="n">
        <f aca="false">IF(H124&gt;N(H123),$E124,0)</f>
        <v>0</v>
      </c>
      <c r="J124" s="79" t="n">
        <f aca="false">IFERROR(IF(AND($A124&lt;&gt;"",$E124&lt;&gt;"",$A124&gt;=PeriodStart,$A124&lt;=PeriodEnd),$E124+ROW()/1000000,0),0)</f>
        <v>0</v>
      </c>
    </row>
    <row r="125" customFormat="false" ht="15" hidden="false" customHeight="false" outlineLevel="0" collapsed="false">
      <c r="A125" s="75"/>
      <c r="B125" s="76"/>
      <c r="C125" s="77"/>
      <c r="D125" s="77"/>
      <c r="E125" s="78"/>
      <c r="F125" s="77"/>
      <c r="G125" s="77"/>
      <c r="H125" s="79" t="n">
        <f aca="false">N(H124)+IFERROR(IF(AND($A125&lt;&gt;"",$E125&lt;&gt;"",$A125&gt;=IF(Search!$E$4="",0,Search!$E$4),$A125&lt;=IF(Search!$E$5="",99999,Search!$E$5),OR(Search!$E$6="",ISNUMBER(SEARCH(Search!$E$6,$C125))),OR(Search!$E$7="All",Search!$E$7="",$D125=Search!$E$7),OR(Search!$E$8="",Search!$E$9="",AND($B125&lt;&gt;"",MOD($B125,1)&gt;=Search!$E$8,MOD($B125,1)&lt;=Search!$E$9))),1,0),0)</f>
        <v>0</v>
      </c>
      <c r="I125" s="79" t="n">
        <f aca="false">IF(H125&gt;N(H124),$E125,0)</f>
        <v>0</v>
      </c>
      <c r="J125" s="79" t="n">
        <f aca="false">IFERROR(IF(AND($A125&lt;&gt;"",$E125&lt;&gt;"",$A125&gt;=PeriodStart,$A125&lt;=PeriodEnd),$E125+ROW()/1000000,0),0)</f>
        <v>0</v>
      </c>
    </row>
    <row r="126" customFormat="false" ht="15" hidden="false" customHeight="false" outlineLevel="0" collapsed="false">
      <c r="A126" s="75"/>
      <c r="B126" s="76"/>
      <c r="C126" s="77"/>
      <c r="D126" s="77"/>
      <c r="E126" s="78"/>
      <c r="F126" s="77"/>
      <c r="G126" s="77"/>
      <c r="H126" s="79" t="n">
        <f aca="false">N(H125)+IFERROR(IF(AND($A126&lt;&gt;"",$E126&lt;&gt;"",$A126&gt;=IF(Search!$E$4="",0,Search!$E$4),$A126&lt;=IF(Search!$E$5="",99999,Search!$E$5),OR(Search!$E$6="",ISNUMBER(SEARCH(Search!$E$6,$C126))),OR(Search!$E$7="All",Search!$E$7="",$D126=Search!$E$7),OR(Search!$E$8="",Search!$E$9="",AND($B126&lt;&gt;"",MOD($B126,1)&gt;=Search!$E$8,MOD($B126,1)&lt;=Search!$E$9))),1,0),0)</f>
        <v>0</v>
      </c>
      <c r="I126" s="79" t="n">
        <f aca="false">IF(H126&gt;N(H125),$E126,0)</f>
        <v>0</v>
      </c>
      <c r="J126" s="79" t="n">
        <f aca="false">IFERROR(IF(AND($A126&lt;&gt;"",$E126&lt;&gt;"",$A126&gt;=PeriodStart,$A126&lt;=PeriodEnd),$E126+ROW()/1000000,0),0)</f>
        <v>0</v>
      </c>
    </row>
    <row r="127" customFormat="false" ht="15" hidden="false" customHeight="false" outlineLevel="0" collapsed="false">
      <c r="A127" s="75"/>
      <c r="B127" s="76"/>
      <c r="C127" s="77"/>
      <c r="D127" s="77"/>
      <c r="E127" s="78"/>
      <c r="F127" s="77"/>
      <c r="G127" s="77"/>
      <c r="H127" s="79" t="n">
        <f aca="false">N(H126)+IFERROR(IF(AND($A127&lt;&gt;"",$E127&lt;&gt;"",$A127&gt;=IF(Search!$E$4="",0,Search!$E$4),$A127&lt;=IF(Search!$E$5="",99999,Search!$E$5),OR(Search!$E$6="",ISNUMBER(SEARCH(Search!$E$6,$C127))),OR(Search!$E$7="All",Search!$E$7="",$D127=Search!$E$7),OR(Search!$E$8="",Search!$E$9="",AND($B127&lt;&gt;"",MOD($B127,1)&gt;=Search!$E$8,MOD($B127,1)&lt;=Search!$E$9))),1,0),0)</f>
        <v>0</v>
      </c>
      <c r="I127" s="79" t="n">
        <f aca="false">IF(H127&gt;N(H126),$E127,0)</f>
        <v>0</v>
      </c>
      <c r="J127" s="79" t="n">
        <f aca="false">IFERROR(IF(AND($A127&lt;&gt;"",$E127&lt;&gt;"",$A127&gt;=PeriodStart,$A127&lt;=PeriodEnd),$E127+ROW()/1000000,0),0)</f>
        <v>0</v>
      </c>
    </row>
    <row r="128" customFormat="false" ht="15" hidden="false" customHeight="false" outlineLevel="0" collapsed="false">
      <c r="A128" s="75"/>
      <c r="B128" s="76"/>
      <c r="C128" s="77"/>
      <c r="D128" s="77"/>
      <c r="E128" s="78"/>
      <c r="F128" s="77"/>
      <c r="G128" s="77"/>
      <c r="H128" s="79" t="n">
        <f aca="false">N(H127)+IFERROR(IF(AND($A128&lt;&gt;"",$E128&lt;&gt;"",$A128&gt;=IF(Search!$E$4="",0,Search!$E$4),$A128&lt;=IF(Search!$E$5="",99999,Search!$E$5),OR(Search!$E$6="",ISNUMBER(SEARCH(Search!$E$6,$C128))),OR(Search!$E$7="All",Search!$E$7="",$D128=Search!$E$7),OR(Search!$E$8="",Search!$E$9="",AND($B128&lt;&gt;"",MOD($B128,1)&gt;=Search!$E$8,MOD($B128,1)&lt;=Search!$E$9))),1,0),0)</f>
        <v>0</v>
      </c>
      <c r="I128" s="79" t="n">
        <f aca="false">IF(H128&gt;N(H127),$E128,0)</f>
        <v>0</v>
      </c>
      <c r="J128" s="79" t="n">
        <f aca="false">IFERROR(IF(AND($A128&lt;&gt;"",$E128&lt;&gt;"",$A128&gt;=PeriodStart,$A128&lt;=PeriodEnd),$E128+ROW()/1000000,0),0)</f>
        <v>0</v>
      </c>
    </row>
    <row r="129" customFormat="false" ht="15" hidden="false" customHeight="false" outlineLevel="0" collapsed="false">
      <c r="A129" s="75"/>
      <c r="B129" s="76"/>
      <c r="C129" s="77"/>
      <c r="D129" s="77"/>
      <c r="E129" s="78"/>
      <c r="F129" s="77"/>
      <c r="G129" s="77"/>
      <c r="H129" s="79" t="n">
        <f aca="false">N(H128)+IFERROR(IF(AND($A129&lt;&gt;"",$E129&lt;&gt;"",$A129&gt;=IF(Search!$E$4="",0,Search!$E$4),$A129&lt;=IF(Search!$E$5="",99999,Search!$E$5),OR(Search!$E$6="",ISNUMBER(SEARCH(Search!$E$6,$C129))),OR(Search!$E$7="All",Search!$E$7="",$D129=Search!$E$7),OR(Search!$E$8="",Search!$E$9="",AND($B129&lt;&gt;"",MOD($B129,1)&gt;=Search!$E$8,MOD($B129,1)&lt;=Search!$E$9))),1,0),0)</f>
        <v>0</v>
      </c>
      <c r="I129" s="79" t="n">
        <f aca="false">IF(H129&gt;N(H128),$E129,0)</f>
        <v>0</v>
      </c>
      <c r="J129" s="79" t="n">
        <f aca="false">IFERROR(IF(AND($A129&lt;&gt;"",$E129&lt;&gt;"",$A129&gt;=PeriodStart,$A129&lt;=PeriodEnd),$E129+ROW()/1000000,0),0)</f>
        <v>0</v>
      </c>
    </row>
    <row r="130" customFormat="false" ht="15" hidden="false" customHeight="false" outlineLevel="0" collapsed="false">
      <c r="A130" s="75"/>
      <c r="B130" s="76"/>
      <c r="C130" s="77"/>
      <c r="D130" s="77"/>
      <c r="E130" s="78"/>
      <c r="F130" s="77"/>
      <c r="G130" s="77"/>
      <c r="H130" s="79" t="n">
        <f aca="false">N(H129)+IFERROR(IF(AND($A130&lt;&gt;"",$E130&lt;&gt;"",$A130&gt;=IF(Search!$E$4="",0,Search!$E$4),$A130&lt;=IF(Search!$E$5="",99999,Search!$E$5),OR(Search!$E$6="",ISNUMBER(SEARCH(Search!$E$6,$C130))),OR(Search!$E$7="All",Search!$E$7="",$D130=Search!$E$7),OR(Search!$E$8="",Search!$E$9="",AND($B130&lt;&gt;"",MOD($B130,1)&gt;=Search!$E$8,MOD($B130,1)&lt;=Search!$E$9))),1,0),0)</f>
        <v>0</v>
      </c>
      <c r="I130" s="79" t="n">
        <f aca="false">IF(H130&gt;N(H129),$E130,0)</f>
        <v>0</v>
      </c>
      <c r="J130" s="79" t="n">
        <f aca="false">IFERROR(IF(AND($A130&lt;&gt;"",$E130&lt;&gt;"",$A130&gt;=PeriodStart,$A130&lt;=PeriodEnd),$E130+ROW()/1000000,0),0)</f>
        <v>0</v>
      </c>
    </row>
    <row r="131" customFormat="false" ht="15" hidden="false" customHeight="false" outlineLevel="0" collapsed="false">
      <c r="A131" s="75"/>
      <c r="B131" s="76"/>
      <c r="C131" s="77"/>
      <c r="D131" s="77"/>
      <c r="E131" s="78"/>
      <c r="F131" s="77"/>
      <c r="G131" s="77"/>
      <c r="H131" s="79" t="n">
        <f aca="false">N(H130)+IFERROR(IF(AND($A131&lt;&gt;"",$E131&lt;&gt;"",$A131&gt;=IF(Search!$E$4="",0,Search!$E$4),$A131&lt;=IF(Search!$E$5="",99999,Search!$E$5),OR(Search!$E$6="",ISNUMBER(SEARCH(Search!$E$6,$C131))),OR(Search!$E$7="All",Search!$E$7="",$D131=Search!$E$7),OR(Search!$E$8="",Search!$E$9="",AND($B131&lt;&gt;"",MOD($B131,1)&gt;=Search!$E$8,MOD($B131,1)&lt;=Search!$E$9))),1,0),0)</f>
        <v>0</v>
      </c>
      <c r="I131" s="79" t="n">
        <f aca="false">IF(H131&gt;N(H130),$E131,0)</f>
        <v>0</v>
      </c>
      <c r="J131" s="79" t="n">
        <f aca="false">IFERROR(IF(AND($A131&lt;&gt;"",$E131&lt;&gt;"",$A131&gt;=PeriodStart,$A131&lt;=PeriodEnd),$E131+ROW()/1000000,0),0)</f>
        <v>0</v>
      </c>
    </row>
    <row r="132" customFormat="false" ht="15" hidden="false" customHeight="false" outlineLevel="0" collapsed="false">
      <c r="A132" s="75"/>
      <c r="B132" s="76"/>
      <c r="C132" s="77"/>
      <c r="D132" s="77"/>
      <c r="E132" s="78"/>
      <c r="F132" s="77"/>
      <c r="G132" s="77"/>
      <c r="H132" s="79" t="n">
        <f aca="false">N(H131)+IFERROR(IF(AND($A132&lt;&gt;"",$E132&lt;&gt;"",$A132&gt;=IF(Search!$E$4="",0,Search!$E$4),$A132&lt;=IF(Search!$E$5="",99999,Search!$E$5),OR(Search!$E$6="",ISNUMBER(SEARCH(Search!$E$6,$C132))),OR(Search!$E$7="All",Search!$E$7="",$D132=Search!$E$7),OR(Search!$E$8="",Search!$E$9="",AND($B132&lt;&gt;"",MOD($B132,1)&gt;=Search!$E$8,MOD($B132,1)&lt;=Search!$E$9))),1,0),0)</f>
        <v>0</v>
      </c>
      <c r="I132" s="79" t="n">
        <f aca="false">IF(H132&gt;N(H131),$E132,0)</f>
        <v>0</v>
      </c>
      <c r="J132" s="79" t="n">
        <f aca="false">IFERROR(IF(AND($A132&lt;&gt;"",$E132&lt;&gt;"",$A132&gt;=PeriodStart,$A132&lt;=PeriodEnd),$E132+ROW()/1000000,0),0)</f>
        <v>0</v>
      </c>
    </row>
    <row r="133" customFormat="false" ht="15" hidden="false" customHeight="false" outlineLevel="0" collapsed="false">
      <c r="A133" s="75"/>
      <c r="B133" s="76"/>
      <c r="C133" s="77"/>
      <c r="D133" s="77"/>
      <c r="E133" s="78"/>
      <c r="F133" s="77"/>
      <c r="G133" s="77"/>
      <c r="H133" s="79" t="n">
        <f aca="false">N(H132)+IFERROR(IF(AND($A133&lt;&gt;"",$E133&lt;&gt;"",$A133&gt;=IF(Search!$E$4="",0,Search!$E$4),$A133&lt;=IF(Search!$E$5="",99999,Search!$E$5),OR(Search!$E$6="",ISNUMBER(SEARCH(Search!$E$6,$C133))),OR(Search!$E$7="All",Search!$E$7="",$D133=Search!$E$7),OR(Search!$E$8="",Search!$E$9="",AND($B133&lt;&gt;"",MOD($B133,1)&gt;=Search!$E$8,MOD($B133,1)&lt;=Search!$E$9))),1,0),0)</f>
        <v>0</v>
      </c>
      <c r="I133" s="79" t="n">
        <f aca="false">IF(H133&gt;N(H132),$E133,0)</f>
        <v>0</v>
      </c>
      <c r="J133" s="79" t="n">
        <f aca="false">IFERROR(IF(AND($A133&lt;&gt;"",$E133&lt;&gt;"",$A133&gt;=PeriodStart,$A133&lt;=PeriodEnd),$E133+ROW()/1000000,0),0)</f>
        <v>0</v>
      </c>
    </row>
    <row r="134" customFormat="false" ht="15" hidden="false" customHeight="false" outlineLevel="0" collapsed="false">
      <c r="A134" s="75"/>
      <c r="B134" s="76"/>
      <c r="C134" s="77"/>
      <c r="D134" s="77"/>
      <c r="E134" s="78"/>
      <c r="F134" s="77"/>
      <c r="G134" s="77"/>
      <c r="H134" s="79" t="n">
        <f aca="false">N(H133)+IFERROR(IF(AND($A134&lt;&gt;"",$E134&lt;&gt;"",$A134&gt;=IF(Search!$E$4="",0,Search!$E$4),$A134&lt;=IF(Search!$E$5="",99999,Search!$E$5),OR(Search!$E$6="",ISNUMBER(SEARCH(Search!$E$6,$C134))),OR(Search!$E$7="All",Search!$E$7="",$D134=Search!$E$7),OR(Search!$E$8="",Search!$E$9="",AND($B134&lt;&gt;"",MOD($B134,1)&gt;=Search!$E$8,MOD($B134,1)&lt;=Search!$E$9))),1,0),0)</f>
        <v>0</v>
      </c>
      <c r="I134" s="79" t="n">
        <f aca="false">IF(H134&gt;N(H133),$E134,0)</f>
        <v>0</v>
      </c>
      <c r="J134" s="79" t="n">
        <f aca="false">IFERROR(IF(AND($A134&lt;&gt;"",$E134&lt;&gt;"",$A134&gt;=PeriodStart,$A134&lt;=PeriodEnd),$E134+ROW()/1000000,0),0)</f>
        <v>0</v>
      </c>
    </row>
    <row r="135" customFormat="false" ht="15" hidden="false" customHeight="false" outlineLevel="0" collapsed="false">
      <c r="A135" s="75"/>
      <c r="B135" s="76"/>
      <c r="C135" s="77"/>
      <c r="D135" s="77"/>
      <c r="E135" s="78"/>
      <c r="F135" s="77"/>
      <c r="G135" s="77"/>
      <c r="H135" s="79" t="n">
        <f aca="false">N(H134)+IFERROR(IF(AND($A135&lt;&gt;"",$E135&lt;&gt;"",$A135&gt;=IF(Search!$E$4="",0,Search!$E$4),$A135&lt;=IF(Search!$E$5="",99999,Search!$E$5),OR(Search!$E$6="",ISNUMBER(SEARCH(Search!$E$6,$C135))),OR(Search!$E$7="All",Search!$E$7="",$D135=Search!$E$7),OR(Search!$E$8="",Search!$E$9="",AND($B135&lt;&gt;"",MOD($B135,1)&gt;=Search!$E$8,MOD($B135,1)&lt;=Search!$E$9))),1,0),0)</f>
        <v>0</v>
      </c>
      <c r="I135" s="79" t="n">
        <f aca="false">IF(H135&gt;N(H134),$E135,0)</f>
        <v>0</v>
      </c>
      <c r="J135" s="79" t="n">
        <f aca="false">IFERROR(IF(AND($A135&lt;&gt;"",$E135&lt;&gt;"",$A135&gt;=PeriodStart,$A135&lt;=PeriodEnd),$E135+ROW()/1000000,0),0)</f>
        <v>0</v>
      </c>
    </row>
    <row r="136" customFormat="false" ht="15" hidden="false" customHeight="false" outlineLevel="0" collapsed="false">
      <c r="A136" s="75"/>
      <c r="B136" s="76"/>
      <c r="C136" s="77"/>
      <c r="D136" s="77"/>
      <c r="E136" s="78"/>
      <c r="F136" s="77"/>
      <c r="G136" s="77"/>
      <c r="H136" s="79" t="n">
        <f aca="false">N(H135)+IFERROR(IF(AND($A136&lt;&gt;"",$E136&lt;&gt;"",$A136&gt;=IF(Search!$E$4="",0,Search!$E$4),$A136&lt;=IF(Search!$E$5="",99999,Search!$E$5),OR(Search!$E$6="",ISNUMBER(SEARCH(Search!$E$6,$C136))),OR(Search!$E$7="All",Search!$E$7="",$D136=Search!$E$7),OR(Search!$E$8="",Search!$E$9="",AND($B136&lt;&gt;"",MOD($B136,1)&gt;=Search!$E$8,MOD($B136,1)&lt;=Search!$E$9))),1,0),0)</f>
        <v>0</v>
      </c>
      <c r="I136" s="79" t="n">
        <f aca="false">IF(H136&gt;N(H135),$E136,0)</f>
        <v>0</v>
      </c>
      <c r="J136" s="79" t="n">
        <f aca="false">IFERROR(IF(AND($A136&lt;&gt;"",$E136&lt;&gt;"",$A136&gt;=PeriodStart,$A136&lt;=PeriodEnd),$E136+ROW()/1000000,0),0)</f>
        <v>0</v>
      </c>
    </row>
    <row r="137" customFormat="false" ht="15" hidden="false" customHeight="false" outlineLevel="0" collapsed="false">
      <c r="A137" s="75"/>
      <c r="B137" s="76"/>
      <c r="C137" s="77"/>
      <c r="D137" s="77"/>
      <c r="E137" s="78"/>
      <c r="F137" s="77"/>
      <c r="G137" s="77"/>
      <c r="H137" s="79" t="n">
        <f aca="false">N(H136)+IFERROR(IF(AND($A137&lt;&gt;"",$E137&lt;&gt;"",$A137&gt;=IF(Search!$E$4="",0,Search!$E$4),$A137&lt;=IF(Search!$E$5="",99999,Search!$E$5),OR(Search!$E$6="",ISNUMBER(SEARCH(Search!$E$6,$C137))),OR(Search!$E$7="All",Search!$E$7="",$D137=Search!$E$7),OR(Search!$E$8="",Search!$E$9="",AND($B137&lt;&gt;"",MOD($B137,1)&gt;=Search!$E$8,MOD($B137,1)&lt;=Search!$E$9))),1,0),0)</f>
        <v>0</v>
      </c>
      <c r="I137" s="79" t="n">
        <f aca="false">IF(H137&gt;N(H136),$E137,0)</f>
        <v>0</v>
      </c>
      <c r="J137" s="79" t="n">
        <f aca="false">IFERROR(IF(AND($A137&lt;&gt;"",$E137&lt;&gt;"",$A137&gt;=PeriodStart,$A137&lt;=PeriodEnd),$E137+ROW()/1000000,0),0)</f>
        <v>0</v>
      </c>
    </row>
    <row r="138" customFormat="false" ht="15" hidden="false" customHeight="false" outlineLevel="0" collapsed="false">
      <c r="A138" s="75"/>
      <c r="B138" s="76"/>
      <c r="C138" s="77"/>
      <c r="D138" s="77"/>
      <c r="E138" s="78"/>
      <c r="F138" s="77"/>
      <c r="G138" s="77"/>
      <c r="H138" s="79" t="n">
        <f aca="false">N(H137)+IFERROR(IF(AND($A138&lt;&gt;"",$E138&lt;&gt;"",$A138&gt;=IF(Search!$E$4="",0,Search!$E$4),$A138&lt;=IF(Search!$E$5="",99999,Search!$E$5),OR(Search!$E$6="",ISNUMBER(SEARCH(Search!$E$6,$C138))),OR(Search!$E$7="All",Search!$E$7="",$D138=Search!$E$7),OR(Search!$E$8="",Search!$E$9="",AND($B138&lt;&gt;"",MOD($B138,1)&gt;=Search!$E$8,MOD($B138,1)&lt;=Search!$E$9))),1,0),0)</f>
        <v>0</v>
      </c>
      <c r="I138" s="79" t="n">
        <f aca="false">IF(H138&gt;N(H137),$E138,0)</f>
        <v>0</v>
      </c>
      <c r="J138" s="79" t="n">
        <f aca="false">IFERROR(IF(AND($A138&lt;&gt;"",$E138&lt;&gt;"",$A138&gt;=PeriodStart,$A138&lt;=PeriodEnd),$E138+ROW()/1000000,0),0)</f>
        <v>0</v>
      </c>
    </row>
    <row r="139" customFormat="false" ht="15" hidden="false" customHeight="false" outlineLevel="0" collapsed="false">
      <c r="A139" s="75"/>
      <c r="B139" s="76"/>
      <c r="C139" s="77"/>
      <c r="D139" s="77"/>
      <c r="E139" s="78"/>
      <c r="F139" s="77"/>
      <c r="G139" s="77"/>
      <c r="H139" s="79" t="n">
        <f aca="false">N(H138)+IFERROR(IF(AND($A139&lt;&gt;"",$E139&lt;&gt;"",$A139&gt;=IF(Search!$E$4="",0,Search!$E$4),$A139&lt;=IF(Search!$E$5="",99999,Search!$E$5),OR(Search!$E$6="",ISNUMBER(SEARCH(Search!$E$6,$C139))),OR(Search!$E$7="All",Search!$E$7="",$D139=Search!$E$7),OR(Search!$E$8="",Search!$E$9="",AND($B139&lt;&gt;"",MOD($B139,1)&gt;=Search!$E$8,MOD($B139,1)&lt;=Search!$E$9))),1,0),0)</f>
        <v>0</v>
      </c>
      <c r="I139" s="79" t="n">
        <f aca="false">IF(H139&gt;N(H138),$E139,0)</f>
        <v>0</v>
      </c>
      <c r="J139" s="79" t="n">
        <f aca="false">IFERROR(IF(AND($A139&lt;&gt;"",$E139&lt;&gt;"",$A139&gt;=PeriodStart,$A139&lt;=PeriodEnd),$E139+ROW()/1000000,0),0)</f>
        <v>0</v>
      </c>
    </row>
    <row r="140" customFormat="false" ht="15" hidden="false" customHeight="false" outlineLevel="0" collapsed="false">
      <c r="A140" s="75"/>
      <c r="B140" s="76"/>
      <c r="C140" s="77"/>
      <c r="D140" s="77"/>
      <c r="E140" s="78"/>
      <c r="F140" s="77"/>
      <c r="G140" s="77"/>
      <c r="H140" s="79" t="n">
        <f aca="false">N(H139)+IFERROR(IF(AND($A140&lt;&gt;"",$E140&lt;&gt;"",$A140&gt;=IF(Search!$E$4="",0,Search!$E$4),$A140&lt;=IF(Search!$E$5="",99999,Search!$E$5),OR(Search!$E$6="",ISNUMBER(SEARCH(Search!$E$6,$C140))),OR(Search!$E$7="All",Search!$E$7="",$D140=Search!$E$7),OR(Search!$E$8="",Search!$E$9="",AND($B140&lt;&gt;"",MOD($B140,1)&gt;=Search!$E$8,MOD($B140,1)&lt;=Search!$E$9))),1,0),0)</f>
        <v>0</v>
      </c>
      <c r="I140" s="79" t="n">
        <f aca="false">IF(H140&gt;N(H139),$E140,0)</f>
        <v>0</v>
      </c>
      <c r="J140" s="79" t="n">
        <f aca="false">IFERROR(IF(AND($A140&lt;&gt;"",$E140&lt;&gt;"",$A140&gt;=PeriodStart,$A140&lt;=PeriodEnd),$E140+ROW()/1000000,0),0)</f>
        <v>0</v>
      </c>
    </row>
    <row r="141" customFormat="false" ht="15" hidden="false" customHeight="false" outlineLevel="0" collapsed="false">
      <c r="A141" s="75"/>
      <c r="B141" s="76"/>
      <c r="C141" s="77"/>
      <c r="D141" s="77"/>
      <c r="E141" s="78"/>
      <c r="F141" s="77"/>
      <c r="G141" s="77"/>
      <c r="H141" s="79" t="n">
        <f aca="false">N(H140)+IFERROR(IF(AND($A141&lt;&gt;"",$E141&lt;&gt;"",$A141&gt;=IF(Search!$E$4="",0,Search!$E$4),$A141&lt;=IF(Search!$E$5="",99999,Search!$E$5),OR(Search!$E$6="",ISNUMBER(SEARCH(Search!$E$6,$C141))),OR(Search!$E$7="All",Search!$E$7="",$D141=Search!$E$7),OR(Search!$E$8="",Search!$E$9="",AND($B141&lt;&gt;"",MOD($B141,1)&gt;=Search!$E$8,MOD($B141,1)&lt;=Search!$E$9))),1,0),0)</f>
        <v>0</v>
      </c>
      <c r="I141" s="79" t="n">
        <f aca="false">IF(H141&gt;N(H140),$E141,0)</f>
        <v>0</v>
      </c>
      <c r="J141" s="79" t="n">
        <f aca="false">IFERROR(IF(AND($A141&lt;&gt;"",$E141&lt;&gt;"",$A141&gt;=PeriodStart,$A141&lt;=PeriodEnd),$E141+ROW()/1000000,0),0)</f>
        <v>0</v>
      </c>
    </row>
    <row r="142" customFormat="false" ht="15" hidden="false" customHeight="false" outlineLevel="0" collapsed="false">
      <c r="A142" s="75"/>
      <c r="B142" s="76"/>
      <c r="C142" s="77"/>
      <c r="D142" s="77"/>
      <c r="E142" s="78"/>
      <c r="F142" s="77"/>
      <c r="G142" s="77"/>
      <c r="H142" s="79" t="n">
        <f aca="false">N(H141)+IFERROR(IF(AND($A142&lt;&gt;"",$E142&lt;&gt;"",$A142&gt;=IF(Search!$E$4="",0,Search!$E$4),$A142&lt;=IF(Search!$E$5="",99999,Search!$E$5),OR(Search!$E$6="",ISNUMBER(SEARCH(Search!$E$6,$C142))),OR(Search!$E$7="All",Search!$E$7="",$D142=Search!$E$7),OR(Search!$E$8="",Search!$E$9="",AND($B142&lt;&gt;"",MOD($B142,1)&gt;=Search!$E$8,MOD($B142,1)&lt;=Search!$E$9))),1,0),0)</f>
        <v>0</v>
      </c>
      <c r="I142" s="79" t="n">
        <f aca="false">IF(H142&gt;N(H141),$E142,0)</f>
        <v>0</v>
      </c>
      <c r="J142" s="79" t="n">
        <f aca="false">IFERROR(IF(AND($A142&lt;&gt;"",$E142&lt;&gt;"",$A142&gt;=PeriodStart,$A142&lt;=PeriodEnd),$E142+ROW()/1000000,0),0)</f>
        <v>0</v>
      </c>
    </row>
    <row r="143" customFormat="false" ht="15" hidden="false" customHeight="false" outlineLevel="0" collapsed="false">
      <c r="A143" s="75"/>
      <c r="B143" s="76"/>
      <c r="C143" s="77"/>
      <c r="D143" s="77"/>
      <c r="E143" s="78"/>
      <c r="F143" s="77"/>
      <c r="G143" s="77"/>
      <c r="H143" s="79" t="n">
        <f aca="false">N(H142)+IFERROR(IF(AND($A143&lt;&gt;"",$E143&lt;&gt;"",$A143&gt;=IF(Search!$E$4="",0,Search!$E$4),$A143&lt;=IF(Search!$E$5="",99999,Search!$E$5),OR(Search!$E$6="",ISNUMBER(SEARCH(Search!$E$6,$C143))),OR(Search!$E$7="All",Search!$E$7="",$D143=Search!$E$7),OR(Search!$E$8="",Search!$E$9="",AND($B143&lt;&gt;"",MOD($B143,1)&gt;=Search!$E$8,MOD($B143,1)&lt;=Search!$E$9))),1,0),0)</f>
        <v>0</v>
      </c>
      <c r="I143" s="79" t="n">
        <f aca="false">IF(H143&gt;N(H142),$E143,0)</f>
        <v>0</v>
      </c>
      <c r="J143" s="79" t="n">
        <f aca="false">IFERROR(IF(AND($A143&lt;&gt;"",$E143&lt;&gt;"",$A143&gt;=PeriodStart,$A143&lt;=PeriodEnd),$E143+ROW()/1000000,0),0)</f>
        <v>0</v>
      </c>
    </row>
    <row r="144" customFormat="false" ht="15" hidden="false" customHeight="false" outlineLevel="0" collapsed="false">
      <c r="A144" s="75"/>
      <c r="B144" s="76"/>
      <c r="C144" s="77"/>
      <c r="D144" s="77"/>
      <c r="E144" s="78"/>
      <c r="F144" s="77"/>
      <c r="G144" s="77"/>
      <c r="H144" s="79" t="n">
        <f aca="false">N(H143)+IFERROR(IF(AND($A144&lt;&gt;"",$E144&lt;&gt;"",$A144&gt;=IF(Search!$E$4="",0,Search!$E$4),$A144&lt;=IF(Search!$E$5="",99999,Search!$E$5),OR(Search!$E$6="",ISNUMBER(SEARCH(Search!$E$6,$C144))),OR(Search!$E$7="All",Search!$E$7="",$D144=Search!$E$7),OR(Search!$E$8="",Search!$E$9="",AND($B144&lt;&gt;"",MOD($B144,1)&gt;=Search!$E$8,MOD($B144,1)&lt;=Search!$E$9))),1,0),0)</f>
        <v>0</v>
      </c>
      <c r="I144" s="79" t="n">
        <f aca="false">IF(H144&gt;N(H143),$E144,0)</f>
        <v>0</v>
      </c>
      <c r="J144" s="79" t="n">
        <f aca="false">IFERROR(IF(AND($A144&lt;&gt;"",$E144&lt;&gt;"",$A144&gt;=PeriodStart,$A144&lt;=PeriodEnd),$E144+ROW()/1000000,0),0)</f>
        <v>0</v>
      </c>
    </row>
    <row r="145" customFormat="false" ht="15" hidden="false" customHeight="false" outlineLevel="0" collapsed="false">
      <c r="A145" s="75"/>
      <c r="B145" s="76"/>
      <c r="C145" s="77"/>
      <c r="D145" s="77"/>
      <c r="E145" s="78"/>
      <c r="F145" s="77"/>
      <c r="G145" s="77"/>
      <c r="H145" s="79" t="n">
        <f aca="false">N(H144)+IFERROR(IF(AND($A145&lt;&gt;"",$E145&lt;&gt;"",$A145&gt;=IF(Search!$E$4="",0,Search!$E$4),$A145&lt;=IF(Search!$E$5="",99999,Search!$E$5),OR(Search!$E$6="",ISNUMBER(SEARCH(Search!$E$6,$C145))),OR(Search!$E$7="All",Search!$E$7="",$D145=Search!$E$7),OR(Search!$E$8="",Search!$E$9="",AND($B145&lt;&gt;"",MOD($B145,1)&gt;=Search!$E$8,MOD($B145,1)&lt;=Search!$E$9))),1,0),0)</f>
        <v>0</v>
      </c>
      <c r="I145" s="79" t="n">
        <f aca="false">IF(H145&gt;N(H144),$E145,0)</f>
        <v>0</v>
      </c>
      <c r="J145" s="79" t="n">
        <f aca="false">IFERROR(IF(AND($A145&lt;&gt;"",$E145&lt;&gt;"",$A145&gt;=PeriodStart,$A145&lt;=PeriodEnd),$E145+ROW()/1000000,0),0)</f>
        <v>0</v>
      </c>
    </row>
    <row r="146" customFormat="false" ht="15" hidden="false" customHeight="false" outlineLevel="0" collapsed="false">
      <c r="A146" s="75"/>
      <c r="B146" s="76"/>
      <c r="C146" s="77"/>
      <c r="D146" s="77"/>
      <c r="E146" s="78"/>
      <c r="F146" s="77"/>
      <c r="G146" s="77"/>
      <c r="H146" s="79" t="n">
        <f aca="false">N(H145)+IFERROR(IF(AND($A146&lt;&gt;"",$E146&lt;&gt;"",$A146&gt;=IF(Search!$E$4="",0,Search!$E$4),$A146&lt;=IF(Search!$E$5="",99999,Search!$E$5),OR(Search!$E$6="",ISNUMBER(SEARCH(Search!$E$6,$C146))),OR(Search!$E$7="All",Search!$E$7="",$D146=Search!$E$7),OR(Search!$E$8="",Search!$E$9="",AND($B146&lt;&gt;"",MOD($B146,1)&gt;=Search!$E$8,MOD($B146,1)&lt;=Search!$E$9))),1,0),0)</f>
        <v>0</v>
      </c>
      <c r="I146" s="79" t="n">
        <f aca="false">IF(H146&gt;N(H145),$E146,0)</f>
        <v>0</v>
      </c>
      <c r="J146" s="79" t="n">
        <f aca="false">IFERROR(IF(AND($A146&lt;&gt;"",$E146&lt;&gt;"",$A146&gt;=PeriodStart,$A146&lt;=PeriodEnd),$E146+ROW()/1000000,0),0)</f>
        <v>0</v>
      </c>
    </row>
    <row r="147" customFormat="false" ht="15" hidden="false" customHeight="false" outlineLevel="0" collapsed="false">
      <c r="A147" s="75"/>
      <c r="B147" s="76"/>
      <c r="C147" s="77"/>
      <c r="D147" s="77"/>
      <c r="E147" s="78"/>
      <c r="F147" s="77"/>
      <c r="G147" s="77"/>
      <c r="H147" s="79" t="n">
        <f aca="false">N(H146)+IFERROR(IF(AND($A147&lt;&gt;"",$E147&lt;&gt;"",$A147&gt;=IF(Search!$E$4="",0,Search!$E$4),$A147&lt;=IF(Search!$E$5="",99999,Search!$E$5),OR(Search!$E$6="",ISNUMBER(SEARCH(Search!$E$6,$C147))),OR(Search!$E$7="All",Search!$E$7="",$D147=Search!$E$7),OR(Search!$E$8="",Search!$E$9="",AND($B147&lt;&gt;"",MOD($B147,1)&gt;=Search!$E$8,MOD($B147,1)&lt;=Search!$E$9))),1,0),0)</f>
        <v>0</v>
      </c>
      <c r="I147" s="79" t="n">
        <f aca="false">IF(H147&gt;N(H146),$E147,0)</f>
        <v>0</v>
      </c>
      <c r="J147" s="79" t="n">
        <f aca="false">IFERROR(IF(AND($A147&lt;&gt;"",$E147&lt;&gt;"",$A147&gt;=PeriodStart,$A147&lt;=PeriodEnd),$E147+ROW()/1000000,0),0)</f>
        <v>0</v>
      </c>
    </row>
    <row r="148" customFormat="false" ht="15" hidden="false" customHeight="false" outlineLevel="0" collapsed="false">
      <c r="A148" s="75"/>
      <c r="B148" s="76"/>
      <c r="C148" s="77"/>
      <c r="D148" s="77"/>
      <c r="E148" s="78"/>
      <c r="F148" s="77"/>
      <c r="G148" s="77"/>
      <c r="H148" s="79" t="n">
        <f aca="false">N(H147)+IFERROR(IF(AND($A148&lt;&gt;"",$E148&lt;&gt;"",$A148&gt;=IF(Search!$E$4="",0,Search!$E$4),$A148&lt;=IF(Search!$E$5="",99999,Search!$E$5),OR(Search!$E$6="",ISNUMBER(SEARCH(Search!$E$6,$C148))),OR(Search!$E$7="All",Search!$E$7="",$D148=Search!$E$7),OR(Search!$E$8="",Search!$E$9="",AND($B148&lt;&gt;"",MOD($B148,1)&gt;=Search!$E$8,MOD($B148,1)&lt;=Search!$E$9))),1,0),0)</f>
        <v>0</v>
      </c>
      <c r="I148" s="79" t="n">
        <f aca="false">IF(H148&gt;N(H147),$E148,0)</f>
        <v>0</v>
      </c>
      <c r="J148" s="79" t="n">
        <f aca="false">IFERROR(IF(AND($A148&lt;&gt;"",$E148&lt;&gt;"",$A148&gt;=PeriodStart,$A148&lt;=PeriodEnd),$E148+ROW()/1000000,0),0)</f>
        <v>0</v>
      </c>
    </row>
    <row r="149" customFormat="false" ht="15" hidden="false" customHeight="false" outlineLevel="0" collapsed="false">
      <c r="A149" s="75"/>
      <c r="B149" s="76"/>
      <c r="C149" s="77"/>
      <c r="D149" s="77"/>
      <c r="E149" s="78"/>
      <c r="F149" s="77"/>
      <c r="G149" s="77"/>
      <c r="H149" s="79" t="n">
        <f aca="false">N(H148)+IFERROR(IF(AND($A149&lt;&gt;"",$E149&lt;&gt;"",$A149&gt;=IF(Search!$E$4="",0,Search!$E$4),$A149&lt;=IF(Search!$E$5="",99999,Search!$E$5),OR(Search!$E$6="",ISNUMBER(SEARCH(Search!$E$6,$C149))),OR(Search!$E$7="All",Search!$E$7="",$D149=Search!$E$7),OR(Search!$E$8="",Search!$E$9="",AND($B149&lt;&gt;"",MOD($B149,1)&gt;=Search!$E$8,MOD($B149,1)&lt;=Search!$E$9))),1,0),0)</f>
        <v>0</v>
      </c>
      <c r="I149" s="79" t="n">
        <f aca="false">IF(H149&gt;N(H148),$E149,0)</f>
        <v>0</v>
      </c>
      <c r="J149" s="79" t="n">
        <f aca="false">IFERROR(IF(AND($A149&lt;&gt;"",$E149&lt;&gt;"",$A149&gt;=PeriodStart,$A149&lt;=PeriodEnd),$E149+ROW()/1000000,0),0)</f>
        <v>0</v>
      </c>
    </row>
    <row r="150" customFormat="false" ht="15" hidden="false" customHeight="false" outlineLevel="0" collapsed="false">
      <c r="A150" s="75"/>
      <c r="B150" s="76"/>
      <c r="C150" s="77"/>
      <c r="D150" s="77"/>
      <c r="E150" s="78"/>
      <c r="F150" s="77"/>
      <c r="G150" s="77"/>
      <c r="H150" s="79" t="n">
        <f aca="false">N(H149)+IFERROR(IF(AND($A150&lt;&gt;"",$E150&lt;&gt;"",$A150&gt;=IF(Search!$E$4="",0,Search!$E$4),$A150&lt;=IF(Search!$E$5="",99999,Search!$E$5),OR(Search!$E$6="",ISNUMBER(SEARCH(Search!$E$6,$C150))),OR(Search!$E$7="All",Search!$E$7="",$D150=Search!$E$7),OR(Search!$E$8="",Search!$E$9="",AND($B150&lt;&gt;"",MOD($B150,1)&gt;=Search!$E$8,MOD($B150,1)&lt;=Search!$E$9))),1,0),0)</f>
        <v>0</v>
      </c>
      <c r="I150" s="79" t="n">
        <f aca="false">IF(H150&gt;N(H149),$E150,0)</f>
        <v>0</v>
      </c>
      <c r="J150" s="79" t="n">
        <f aca="false">IFERROR(IF(AND($A150&lt;&gt;"",$E150&lt;&gt;"",$A150&gt;=PeriodStart,$A150&lt;=PeriodEnd),$E150+ROW()/1000000,0),0)</f>
        <v>0</v>
      </c>
    </row>
    <row r="151" customFormat="false" ht="15" hidden="false" customHeight="false" outlineLevel="0" collapsed="false">
      <c r="A151" s="75"/>
      <c r="B151" s="76"/>
      <c r="C151" s="77"/>
      <c r="D151" s="77"/>
      <c r="E151" s="78"/>
      <c r="F151" s="77"/>
      <c r="G151" s="77"/>
      <c r="H151" s="79" t="n">
        <f aca="false">N(H150)+IFERROR(IF(AND($A151&lt;&gt;"",$E151&lt;&gt;"",$A151&gt;=IF(Search!$E$4="",0,Search!$E$4),$A151&lt;=IF(Search!$E$5="",99999,Search!$E$5),OR(Search!$E$6="",ISNUMBER(SEARCH(Search!$E$6,$C151))),OR(Search!$E$7="All",Search!$E$7="",$D151=Search!$E$7),OR(Search!$E$8="",Search!$E$9="",AND($B151&lt;&gt;"",MOD($B151,1)&gt;=Search!$E$8,MOD($B151,1)&lt;=Search!$E$9))),1,0),0)</f>
        <v>0</v>
      </c>
      <c r="I151" s="79" t="n">
        <f aca="false">IF(H151&gt;N(H150),$E151,0)</f>
        <v>0</v>
      </c>
      <c r="J151" s="79" t="n">
        <f aca="false">IFERROR(IF(AND($A151&lt;&gt;"",$E151&lt;&gt;"",$A151&gt;=PeriodStart,$A151&lt;=PeriodEnd),$E151+ROW()/1000000,0),0)</f>
        <v>0</v>
      </c>
    </row>
    <row r="152" customFormat="false" ht="15" hidden="false" customHeight="false" outlineLevel="0" collapsed="false">
      <c r="A152" s="75"/>
      <c r="B152" s="76"/>
      <c r="C152" s="77"/>
      <c r="D152" s="77"/>
      <c r="E152" s="78"/>
      <c r="F152" s="77"/>
      <c r="G152" s="77"/>
      <c r="H152" s="79" t="n">
        <f aca="false">N(H151)+IFERROR(IF(AND($A152&lt;&gt;"",$E152&lt;&gt;"",$A152&gt;=IF(Search!$E$4="",0,Search!$E$4),$A152&lt;=IF(Search!$E$5="",99999,Search!$E$5),OR(Search!$E$6="",ISNUMBER(SEARCH(Search!$E$6,$C152))),OR(Search!$E$7="All",Search!$E$7="",$D152=Search!$E$7),OR(Search!$E$8="",Search!$E$9="",AND($B152&lt;&gt;"",MOD($B152,1)&gt;=Search!$E$8,MOD($B152,1)&lt;=Search!$E$9))),1,0),0)</f>
        <v>0</v>
      </c>
      <c r="I152" s="79" t="n">
        <f aca="false">IF(H152&gt;N(H151),$E152,0)</f>
        <v>0</v>
      </c>
      <c r="J152" s="79" t="n">
        <f aca="false">IFERROR(IF(AND($A152&lt;&gt;"",$E152&lt;&gt;"",$A152&gt;=PeriodStart,$A152&lt;=PeriodEnd),$E152+ROW()/1000000,0),0)</f>
        <v>0</v>
      </c>
    </row>
    <row r="153" customFormat="false" ht="15" hidden="false" customHeight="false" outlineLevel="0" collapsed="false">
      <c r="A153" s="75"/>
      <c r="B153" s="76"/>
      <c r="C153" s="77"/>
      <c r="D153" s="77"/>
      <c r="E153" s="78"/>
      <c r="F153" s="77"/>
      <c r="G153" s="77"/>
      <c r="H153" s="79" t="n">
        <f aca="false">N(H152)+IFERROR(IF(AND($A153&lt;&gt;"",$E153&lt;&gt;"",$A153&gt;=IF(Search!$E$4="",0,Search!$E$4),$A153&lt;=IF(Search!$E$5="",99999,Search!$E$5),OR(Search!$E$6="",ISNUMBER(SEARCH(Search!$E$6,$C153))),OR(Search!$E$7="All",Search!$E$7="",$D153=Search!$E$7),OR(Search!$E$8="",Search!$E$9="",AND($B153&lt;&gt;"",MOD($B153,1)&gt;=Search!$E$8,MOD($B153,1)&lt;=Search!$E$9))),1,0),0)</f>
        <v>0</v>
      </c>
      <c r="I153" s="79" t="n">
        <f aca="false">IF(H153&gt;N(H152),$E153,0)</f>
        <v>0</v>
      </c>
      <c r="J153" s="79" t="n">
        <f aca="false">IFERROR(IF(AND($A153&lt;&gt;"",$E153&lt;&gt;"",$A153&gt;=PeriodStart,$A153&lt;=PeriodEnd),$E153+ROW()/1000000,0),0)</f>
        <v>0</v>
      </c>
    </row>
    <row r="154" customFormat="false" ht="15" hidden="false" customHeight="false" outlineLevel="0" collapsed="false">
      <c r="A154" s="75"/>
      <c r="B154" s="76"/>
      <c r="C154" s="77"/>
      <c r="D154" s="77"/>
      <c r="E154" s="78"/>
      <c r="F154" s="77"/>
      <c r="G154" s="77"/>
      <c r="H154" s="79" t="n">
        <f aca="false">N(H153)+IFERROR(IF(AND($A154&lt;&gt;"",$E154&lt;&gt;"",$A154&gt;=IF(Search!$E$4="",0,Search!$E$4),$A154&lt;=IF(Search!$E$5="",99999,Search!$E$5),OR(Search!$E$6="",ISNUMBER(SEARCH(Search!$E$6,$C154))),OR(Search!$E$7="All",Search!$E$7="",$D154=Search!$E$7),OR(Search!$E$8="",Search!$E$9="",AND($B154&lt;&gt;"",MOD($B154,1)&gt;=Search!$E$8,MOD($B154,1)&lt;=Search!$E$9))),1,0),0)</f>
        <v>0</v>
      </c>
      <c r="I154" s="79" t="n">
        <f aca="false">IF(H154&gt;N(H153),$E154,0)</f>
        <v>0</v>
      </c>
      <c r="J154" s="79" t="n">
        <f aca="false">IFERROR(IF(AND($A154&lt;&gt;"",$E154&lt;&gt;"",$A154&gt;=PeriodStart,$A154&lt;=PeriodEnd),$E154+ROW()/1000000,0),0)</f>
        <v>0</v>
      </c>
    </row>
    <row r="155" customFormat="false" ht="15" hidden="false" customHeight="false" outlineLevel="0" collapsed="false">
      <c r="A155" s="75"/>
      <c r="B155" s="76"/>
      <c r="C155" s="77"/>
      <c r="D155" s="77"/>
      <c r="E155" s="78"/>
      <c r="F155" s="77"/>
      <c r="G155" s="77"/>
      <c r="H155" s="79" t="n">
        <f aca="false">N(H154)+IFERROR(IF(AND($A155&lt;&gt;"",$E155&lt;&gt;"",$A155&gt;=IF(Search!$E$4="",0,Search!$E$4),$A155&lt;=IF(Search!$E$5="",99999,Search!$E$5),OR(Search!$E$6="",ISNUMBER(SEARCH(Search!$E$6,$C155))),OR(Search!$E$7="All",Search!$E$7="",$D155=Search!$E$7),OR(Search!$E$8="",Search!$E$9="",AND($B155&lt;&gt;"",MOD($B155,1)&gt;=Search!$E$8,MOD($B155,1)&lt;=Search!$E$9))),1,0),0)</f>
        <v>0</v>
      </c>
      <c r="I155" s="79" t="n">
        <f aca="false">IF(H155&gt;N(H154),$E155,0)</f>
        <v>0</v>
      </c>
      <c r="J155" s="79" t="n">
        <f aca="false">IFERROR(IF(AND($A155&lt;&gt;"",$E155&lt;&gt;"",$A155&gt;=PeriodStart,$A155&lt;=PeriodEnd),$E155+ROW()/1000000,0),0)</f>
        <v>0</v>
      </c>
    </row>
    <row r="156" customFormat="false" ht="15" hidden="false" customHeight="false" outlineLevel="0" collapsed="false">
      <c r="A156" s="75"/>
      <c r="B156" s="76"/>
      <c r="C156" s="77"/>
      <c r="D156" s="77"/>
      <c r="E156" s="78"/>
      <c r="F156" s="77"/>
      <c r="G156" s="77"/>
      <c r="H156" s="79" t="n">
        <f aca="false">N(H155)+IFERROR(IF(AND($A156&lt;&gt;"",$E156&lt;&gt;"",$A156&gt;=IF(Search!$E$4="",0,Search!$E$4),$A156&lt;=IF(Search!$E$5="",99999,Search!$E$5),OR(Search!$E$6="",ISNUMBER(SEARCH(Search!$E$6,$C156))),OR(Search!$E$7="All",Search!$E$7="",$D156=Search!$E$7),OR(Search!$E$8="",Search!$E$9="",AND($B156&lt;&gt;"",MOD($B156,1)&gt;=Search!$E$8,MOD($B156,1)&lt;=Search!$E$9))),1,0),0)</f>
        <v>0</v>
      </c>
      <c r="I156" s="79" t="n">
        <f aca="false">IF(H156&gt;N(H155),$E156,0)</f>
        <v>0</v>
      </c>
      <c r="J156" s="79" t="n">
        <f aca="false">IFERROR(IF(AND($A156&lt;&gt;"",$E156&lt;&gt;"",$A156&gt;=PeriodStart,$A156&lt;=PeriodEnd),$E156+ROW()/1000000,0),0)</f>
        <v>0</v>
      </c>
    </row>
    <row r="157" customFormat="false" ht="15" hidden="false" customHeight="false" outlineLevel="0" collapsed="false">
      <c r="A157" s="75"/>
      <c r="B157" s="76"/>
      <c r="C157" s="77"/>
      <c r="D157" s="77"/>
      <c r="E157" s="78"/>
      <c r="F157" s="77"/>
      <c r="G157" s="77"/>
      <c r="H157" s="79" t="n">
        <f aca="false">N(H156)+IFERROR(IF(AND($A157&lt;&gt;"",$E157&lt;&gt;"",$A157&gt;=IF(Search!$E$4="",0,Search!$E$4),$A157&lt;=IF(Search!$E$5="",99999,Search!$E$5),OR(Search!$E$6="",ISNUMBER(SEARCH(Search!$E$6,$C157))),OR(Search!$E$7="All",Search!$E$7="",$D157=Search!$E$7),OR(Search!$E$8="",Search!$E$9="",AND($B157&lt;&gt;"",MOD($B157,1)&gt;=Search!$E$8,MOD($B157,1)&lt;=Search!$E$9))),1,0),0)</f>
        <v>0</v>
      </c>
      <c r="I157" s="79" t="n">
        <f aca="false">IF(H157&gt;N(H156),$E157,0)</f>
        <v>0</v>
      </c>
      <c r="J157" s="79" t="n">
        <f aca="false">IFERROR(IF(AND($A157&lt;&gt;"",$E157&lt;&gt;"",$A157&gt;=PeriodStart,$A157&lt;=PeriodEnd),$E157+ROW()/1000000,0),0)</f>
        <v>0</v>
      </c>
    </row>
    <row r="158" customFormat="false" ht="15" hidden="false" customHeight="false" outlineLevel="0" collapsed="false">
      <c r="A158" s="75"/>
      <c r="B158" s="76"/>
      <c r="C158" s="77"/>
      <c r="D158" s="77"/>
      <c r="E158" s="78"/>
      <c r="F158" s="77"/>
      <c r="G158" s="77"/>
      <c r="H158" s="79" t="n">
        <f aca="false">N(H157)+IFERROR(IF(AND($A158&lt;&gt;"",$E158&lt;&gt;"",$A158&gt;=IF(Search!$E$4="",0,Search!$E$4),$A158&lt;=IF(Search!$E$5="",99999,Search!$E$5),OR(Search!$E$6="",ISNUMBER(SEARCH(Search!$E$6,$C158))),OR(Search!$E$7="All",Search!$E$7="",$D158=Search!$E$7),OR(Search!$E$8="",Search!$E$9="",AND($B158&lt;&gt;"",MOD($B158,1)&gt;=Search!$E$8,MOD($B158,1)&lt;=Search!$E$9))),1,0),0)</f>
        <v>0</v>
      </c>
      <c r="I158" s="79" t="n">
        <f aca="false">IF(H158&gt;N(H157),$E158,0)</f>
        <v>0</v>
      </c>
      <c r="J158" s="79" t="n">
        <f aca="false">IFERROR(IF(AND($A158&lt;&gt;"",$E158&lt;&gt;"",$A158&gt;=PeriodStart,$A158&lt;=PeriodEnd),$E158+ROW()/1000000,0),0)</f>
        <v>0</v>
      </c>
    </row>
    <row r="159" customFormat="false" ht="15" hidden="false" customHeight="false" outlineLevel="0" collapsed="false">
      <c r="A159" s="75"/>
      <c r="B159" s="76"/>
      <c r="C159" s="77"/>
      <c r="D159" s="77"/>
      <c r="E159" s="78"/>
      <c r="F159" s="77"/>
      <c r="G159" s="77"/>
      <c r="H159" s="79" t="n">
        <f aca="false">N(H158)+IFERROR(IF(AND($A159&lt;&gt;"",$E159&lt;&gt;"",$A159&gt;=IF(Search!$E$4="",0,Search!$E$4),$A159&lt;=IF(Search!$E$5="",99999,Search!$E$5),OR(Search!$E$6="",ISNUMBER(SEARCH(Search!$E$6,$C159))),OR(Search!$E$7="All",Search!$E$7="",$D159=Search!$E$7),OR(Search!$E$8="",Search!$E$9="",AND($B159&lt;&gt;"",MOD($B159,1)&gt;=Search!$E$8,MOD($B159,1)&lt;=Search!$E$9))),1,0),0)</f>
        <v>0</v>
      </c>
      <c r="I159" s="79" t="n">
        <f aca="false">IF(H159&gt;N(H158),$E159,0)</f>
        <v>0</v>
      </c>
      <c r="J159" s="79" t="n">
        <f aca="false">IFERROR(IF(AND($A159&lt;&gt;"",$E159&lt;&gt;"",$A159&gt;=PeriodStart,$A159&lt;=PeriodEnd),$E159+ROW()/1000000,0),0)</f>
        <v>0</v>
      </c>
    </row>
    <row r="160" customFormat="false" ht="15" hidden="false" customHeight="false" outlineLevel="0" collapsed="false">
      <c r="A160" s="75"/>
      <c r="B160" s="76"/>
      <c r="C160" s="77"/>
      <c r="D160" s="77"/>
      <c r="E160" s="78"/>
      <c r="F160" s="77"/>
      <c r="G160" s="77"/>
      <c r="H160" s="79" t="n">
        <f aca="false">N(H159)+IFERROR(IF(AND($A160&lt;&gt;"",$E160&lt;&gt;"",$A160&gt;=IF(Search!$E$4="",0,Search!$E$4),$A160&lt;=IF(Search!$E$5="",99999,Search!$E$5),OR(Search!$E$6="",ISNUMBER(SEARCH(Search!$E$6,$C160))),OR(Search!$E$7="All",Search!$E$7="",$D160=Search!$E$7),OR(Search!$E$8="",Search!$E$9="",AND($B160&lt;&gt;"",MOD($B160,1)&gt;=Search!$E$8,MOD($B160,1)&lt;=Search!$E$9))),1,0),0)</f>
        <v>0</v>
      </c>
      <c r="I160" s="79" t="n">
        <f aca="false">IF(H160&gt;N(H159),$E160,0)</f>
        <v>0</v>
      </c>
      <c r="J160" s="79" t="n">
        <f aca="false">IFERROR(IF(AND($A160&lt;&gt;"",$E160&lt;&gt;"",$A160&gt;=PeriodStart,$A160&lt;=PeriodEnd),$E160+ROW()/1000000,0),0)</f>
        <v>0</v>
      </c>
    </row>
    <row r="161" customFormat="false" ht="15" hidden="false" customHeight="false" outlineLevel="0" collapsed="false">
      <c r="A161" s="75"/>
      <c r="B161" s="76"/>
      <c r="C161" s="77"/>
      <c r="D161" s="77"/>
      <c r="E161" s="78"/>
      <c r="F161" s="77"/>
      <c r="G161" s="77"/>
      <c r="H161" s="79" t="n">
        <f aca="false">N(H160)+IFERROR(IF(AND($A161&lt;&gt;"",$E161&lt;&gt;"",$A161&gt;=IF(Search!$E$4="",0,Search!$E$4),$A161&lt;=IF(Search!$E$5="",99999,Search!$E$5),OR(Search!$E$6="",ISNUMBER(SEARCH(Search!$E$6,$C161))),OR(Search!$E$7="All",Search!$E$7="",$D161=Search!$E$7),OR(Search!$E$8="",Search!$E$9="",AND($B161&lt;&gt;"",MOD($B161,1)&gt;=Search!$E$8,MOD($B161,1)&lt;=Search!$E$9))),1,0),0)</f>
        <v>0</v>
      </c>
      <c r="I161" s="79" t="n">
        <f aca="false">IF(H161&gt;N(H160),$E161,0)</f>
        <v>0</v>
      </c>
      <c r="J161" s="79" t="n">
        <f aca="false">IFERROR(IF(AND($A161&lt;&gt;"",$E161&lt;&gt;"",$A161&gt;=PeriodStart,$A161&lt;=PeriodEnd),$E161+ROW()/1000000,0),0)</f>
        <v>0</v>
      </c>
    </row>
    <row r="162" customFormat="false" ht="15" hidden="false" customHeight="false" outlineLevel="0" collapsed="false">
      <c r="A162" s="75"/>
      <c r="B162" s="76"/>
      <c r="C162" s="77"/>
      <c r="D162" s="77"/>
      <c r="E162" s="78"/>
      <c r="F162" s="77"/>
      <c r="G162" s="77"/>
      <c r="H162" s="79" t="n">
        <f aca="false">N(H161)+IFERROR(IF(AND($A162&lt;&gt;"",$E162&lt;&gt;"",$A162&gt;=IF(Search!$E$4="",0,Search!$E$4),$A162&lt;=IF(Search!$E$5="",99999,Search!$E$5),OR(Search!$E$6="",ISNUMBER(SEARCH(Search!$E$6,$C162))),OR(Search!$E$7="All",Search!$E$7="",$D162=Search!$E$7),OR(Search!$E$8="",Search!$E$9="",AND($B162&lt;&gt;"",MOD($B162,1)&gt;=Search!$E$8,MOD($B162,1)&lt;=Search!$E$9))),1,0),0)</f>
        <v>0</v>
      </c>
      <c r="I162" s="79" t="n">
        <f aca="false">IF(H162&gt;N(H161),$E162,0)</f>
        <v>0</v>
      </c>
      <c r="J162" s="79" t="n">
        <f aca="false">IFERROR(IF(AND($A162&lt;&gt;"",$E162&lt;&gt;"",$A162&gt;=PeriodStart,$A162&lt;=PeriodEnd),$E162+ROW()/1000000,0),0)</f>
        <v>0</v>
      </c>
    </row>
    <row r="163" customFormat="false" ht="15" hidden="false" customHeight="false" outlineLevel="0" collapsed="false">
      <c r="A163" s="75"/>
      <c r="B163" s="76"/>
      <c r="C163" s="77"/>
      <c r="D163" s="77"/>
      <c r="E163" s="78"/>
      <c r="F163" s="77"/>
      <c r="G163" s="77"/>
      <c r="H163" s="79" t="n">
        <f aca="false">N(H162)+IFERROR(IF(AND($A163&lt;&gt;"",$E163&lt;&gt;"",$A163&gt;=IF(Search!$E$4="",0,Search!$E$4),$A163&lt;=IF(Search!$E$5="",99999,Search!$E$5),OR(Search!$E$6="",ISNUMBER(SEARCH(Search!$E$6,$C163))),OR(Search!$E$7="All",Search!$E$7="",$D163=Search!$E$7),OR(Search!$E$8="",Search!$E$9="",AND($B163&lt;&gt;"",MOD($B163,1)&gt;=Search!$E$8,MOD($B163,1)&lt;=Search!$E$9))),1,0),0)</f>
        <v>0</v>
      </c>
      <c r="I163" s="79" t="n">
        <f aca="false">IF(H163&gt;N(H162),$E163,0)</f>
        <v>0</v>
      </c>
      <c r="J163" s="79" t="n">
        <f aca="false">IFERROR(IF(AND($A163&lt;&gt;"",$E163&lt;&gt;"",$A163&gt;=PeriodStart,$A163&lt;=PeriodEnd),$E163+ROW()/1000000,0),0)</f>
        <v>0</v>
      </c>
    </row>
    <row r="164" customFormat="false" ht="15" hidden="false" customHeight="false" outlineLevel="0" collapsed="false">
      <c r="A164" s="75"/>
      <c r="B164" s="76"/>
      <c r="C164" s="77"/>
      <c r="D164" s="77"/>
      <c r="E164" s="78"/>
      <c r="F164" s="77"/>
      <c r="G164" s="77"/>
      <c r="H164" s="79" t="n">
        <f aca="false">N(H163)+IFERROR(IF(AND($A164&lt;&gt;"",$E164&lt;&gt;"",$A164&gt;=IF(Search!$E$4="",0,Search!$E$4),$A164&lt;=IF(Search!$E$5="",99999,Search!$E$5),OR(Search!$E$6="",ISNUMBER(SEARCH(Search!$E$6,$C164))),OR(Search!$E$7="All",Search!$E$7="",$D164=Search!$E$7),OR(Search!$E$8="",Search!$E$9="",AND($B164&lt;&gt;"",MOD($B164,1)&gt;=Search!$E$8,MOD($B164,1)&lt;=Search!$E$9))),1,0),0)</f>
        <v>0</v>
      </c>
      <c r="I164" s="79" t="n">
        <f aca="false">IF(H164&gt;N(H163),$E164,0)</f>
        <v>0</v>
      </c>
      <c r="J164" s="79" t="n">
        <f aca="false">IFERROR(IF(AND($A164&lt;&gt;"",$E164&lt;&gt;"",$A164&gt;=PeriodStart,$A164&lt;=PeriodEnd),$E164+ROW()/1000000,0),0)</f>
        <v>0</v>
      </c>
    </row>
    <row r="165" customFormat="false" ht="15" hidden="false" customHeight="false" outlineLevel="0" collapsed="false">
      <c r="A165" s="75"/>
      <c r="B165" s="76"/>
      <c r="C165" s="77"/>
      <c r="D165" s="77"/>
      <c r="E165" s="78"/>
      <c r="F165" s="77"/>
      <c r="G165" s="77"/>
      <c r="H165" s="79" t="n">
        <f aca="false">N(H164)+IFERROR(IF(AND($A165&lt;&gt;"",$E165&lt;&gt;"",$A165&gt;=IF(Search!$E$4="",0,Search!$E$4),$A165&lt;=IF(Search!$E$5="",99999,Search!$E$5),OR(Search!$E$6="",ISNUMBER(SEARCH(Search!$E$6,$C165))),OR(Search!$E$7="All",Search!$E$7="",$D165=Search!$E$7),OR(Search!$E$8="",Search!$E$9="",AND($B165&lt;&gt;"",MOD($B165,1)&gt;=Search!$E$8,MOD($B165,1)&lt;=Search!$E$9))),1,0),0)</f>
        <v>0</v>
      </c>
      <c r="I165" s="79" t="n">
        <f aca="false">IF(H165&gt;N(H164),$E165,0)</f>
        <v>0</v>
      </c>
      <c r="J165" s="79" t="n">
        <f aca="false">IFERROR(IF(AND($A165&lt;&gt;"",$E165&lt;&gt;"",$A165&gt;=PeriodStart,$A165&lt;=PeriodEnd),$E165+ROW()/1000000,0),0)</f>
        <v>0</v>
      </c>
    </row>
    <row r="166" customFormat="false" ht="15" hidden="false" customHeight="false" outlineLevel="0" collapsed="false">
      <c r="A166" s="75"/>
      <c r="B166" s="76"/>
      <c r="C166" s="77"/>
      <c r="D166" s="77"/>
      <c r="E166" s="78"/>
      <c r="F166" s="77"/>
      <c r="G166" s="77"/>
      <c r="H166" s="79" t="n">
        <f aca="false">N(H165)+IFERROR(IF(AND($A166&lt;&gt;"",$E166&lt;&gt;"",$A166&gt;=IF(Search!$E$4="",0,Search!$E$4),$A166&lt;=IF(Search!$E$5="",99999,Search!$E$5),OR(Search!$E$6="",ISNUMBER(SEARCH(Search!$E$6,$C166))),OR(Search!$E$7="All",Search!$E$7="",$D166=Search!$E$7),OR(Search!$E$8="",Search!$E$9="",AND($B166&lt;&gt;"",MOD($B166,1)&gt;=Search!$E$8,MOD($B166,1)&lt;=Search!$E$9))),1,0),0)</f>
        <v>0</v>
      </c>
      <c r="I166" s="79" t="n">
        <f aca="false">IF(H166&gt;N(H165),$E166,0)</f>
        <v>0</v>
      </c>
      <c r="J166" s="79" t="n">
        <f aca="false">IFERROR(IF(AND($A166&lt;&gt;"",$E166&lt;&gt;"",$A166&gt;=PeriodStart,$A166&lt;=PeriodEnd),$E166+ROW()/1000000,0),0)</f>
        <v>0</v>
      </c>
    </row>
    <row r="167" customFormat="false" ht="15" hidden="false" customHeight="false" outlineLevel="0" collapsed="false">
      <c r="A167" s="75"/>
      <c r="B167" s="76"/>
      <c r="C167" s="77"/>
      <c r="D167" s="77"/>
      <c r="E167" s="78"/>
      <c r="F167" s="77"/>
      <c r="G167" s="77"/>
      <c r="H167" s="79" t="n">
        <f aca="false">N(H166)+IFERROR(IF(AND($A167&lt;&gt;"",$E167&lt;&gt;"",$A167&gt;=IF(Search!$E$4="",0,Search!$E$4),$A167&lt;=IF(Search!$E$5="",99999,Search!$E$5),OR(Search!$E$6="",ISNUMBER(SEARCH(Search!$E$6,$C167))),OR(Search!$E$7="All",Search!$E$7="",$D167=Search!$E$7),OR(Search!$E$8="",Search!$E$9="",AND($B167&lt;&gt;"",MOD($B167,1)&gt;=Search!$E$8,MOD($B167,1)&lt;=Search!$E$9))),1,0),0)</f>
        <v>0</v>
      </c>
      <c r="I167" s="79" t="n">
        <f aca="false">IF(H167&gt;N(H166),$E167,0)</f>
        <v>0</v>
      </c>
      <c r="J167" s="79" t="n">
        <f aca="false">IFERROR(IF(AND($A167&lt;&gt;"",$E167&lt;&gt;"",$A167&gt;=PeriodStart,$A167&lt;=PeriodEnd),$E167+ROW()/1000000,0),0)</f>
        <v>0</v>
      </c>
    </row>
    <row r="168" customFormat="false" ht="15" hidden="false" customHeight="false" outlineLevel="0" collapsed="false">
      <c r="A168" s="75"/>
      <c r="B168" s="76"/>
      <c r="C168" s="77"/>
      <c r="D168" s="77"/>
      <c r="E168" s="78"/>
      <c r="F168" s="77"/>
      <c r="G168" s="77"/>
      <c r="H168" s="79" t="n">
        <f aca="false">N(H167)+IFERROR(IF(AND($A168&lt;&gt;"",$E168&lt;&gt;"",$A168&gt;=IF(Search!$E$4="",0,Search!$E$4),$A168&lt;=IF(Search!$E$5="",99999,Search!$E$5),OR(Search!$E$6="",ISNUMBER(SEARCH(Search!$E$6,$C168))),OR(Search!$E$7="All",Search!$E$7="",$D168=Search!$E$7),OR(Search!$E$8="",Search!$E$9="",AND($B168&lt;&gt;"",MOD($B168,1)&gt;=Search!$E$8,MOD($B168,1)&lt;=Search!$E$9))),1,0),0)</f>
        <v>0</v>
      </c>
      <c r="I168" s="79" t="n">
        <f aca="false">IF(H168&gt;N(H167),$E168,0)</f>
        <v>0</v>
      </c>
      <c r="J168" s="79" t="n">
        <f aca="false">IFERROR(IF(AND($A168&lt;&gt;"",$E168&lt;&gt;"",$A168&gt;=PeriodStart,$A168&lt;=PeriodEnd),$E168+ROW()/1000000,0),0)</f>
        <v>0</v>
      </c>
    </row>
    <row r="169" customFormat="false" ht="15" hidden="false" customHeight="false" outlineLevel="0" collapsed="false">
      <c r="A169" s="75"/>
      <c r="B169" s="76"/>
      <c r="C169" s="77"/>
      <c r="D169" s="77"/>
      <c r="E169" s="78"/>
      <c r="F169" s="77"/>
      <c r="G169" s="77"/>
      <c r="H169" s="79" t="n">
        <f aca="false">N(H168)+IFERROR(IF(AND($A169&lt;&gt;"",$E169&lt;&gt;"",$A169&gt;=IF(Search!$E$4="",0,Search!$E$4),$A169&lt;=IF(Search!$E$5="",99999,Search!$E$5),OR(Search!$E$6="",ISNUMBER(SEARCH(Search!$E$6,$C169))),OR(Search!$E$7="All",Search!$E$7="",$D169=Search!$E$7),OR(Search!$E$8="",Search!$E$9="",AND($B169&lt;&gt;"",MOD($B169,1)&gt;=Search!$E$8,MOD($B169,1)&lt;=Search!$E$9))),1,0),0)</f>
        <v>0</v>
      </c>
      <c r="I169" s="79" t="n">
        <f aca="false">IF(H169&gt;N(H168),$E169,0)</f>
        <v>0</v>
      </c>
      <c r="J169" s="79" t="n">
        <f aca="false">IFERROR(IF(AND($A169&lt;&gt;"",$E169&lt;&gt;"",$A169&gt;=PeriodStart,$A169&lt;=PeriodEnd),$E169+ROW()/1000000,0),0)</f>
        <v>0</v>
      </c>
    </row>
    <row r="170" customFormat="false" ht="15" hidden="false" customHeight="false" outlineLevel="0" collapsed="false">
      <c r="A170" s="75"/>
      <c r="B170" s="76"/>
      <c r="C170" s="77"/>
      <c r="D170" s="77"/>
      <c r="E170" s="78"/>
      <c r="F170" s="77"/>
      <c r="G170" s="77"/>
      <c r="H170" s="79" t="n">
        <f aca="false">N(H169)+IFERROR(IF(AND($A170&lt;&gt;"",$E170&lt;&gt;"",$A170&gt;=IF(Search!$E$4="",0,Search!$E$4),$A170&lt;=IF(Search!$E$5="",99999,Search!$E$5),OR(Search!$E$6="",ISNUMBER(SEARCH(Search!$E$6,$C170))),OR(Search!$E$7="All",Search!$E$7="",$D170=Search!$E$7),OR(Search!$E$8="",Search!$E$9="",AND($B170&lt;&gt;"",MOD($B170,1)&gt;=Search!$E$8,MOD($B170,1)&lt;=Search!$E$9))),1,0),0)</f>
        <v>0</v>
      </c>
      <c r="I170" s="79" t="n">
        <f aca="false">IF(H170&gt;N(H169),$E170,0)</f>
        <v>0</v>
      </c>
      <c r="J170" s="79" t="n">
        <f aca="false">IFERROR(IF(AND($A170&lt;&gt;"",$E170&lt;&gt;"",$A170&gt;=PeriodStart,$A170&lt;=PeriodEnd),$E170+ROW()/1000000,0),0)</f>
        <v>0</v>
      </c>
    </row>
    <row r="171" customFormat="false" ht="15" hidden="false" customHeight="false" outlineLevel="0" collapsed="false">
      <c r="A171" s="75"/>
      <c r="B171" s="76"/>
      <c r="C171" s="77"/>
      <c r="D171" s="77"/>
      <c r="E171" s="78"/>
      <c r="F171" s="77"/>
      <c r="G171" s="77"/>
      <c r="H171" s="79" t="n">
        <f aca="false">N(H170)+IFERROR(IF(AND($A171&lt;&gt;"",$E171&lt;&gt;"",$A171&gt;=IF(Search!$E$4="",0,Search!$E$4),$A171&lt;=IF(Search!$E$5="",99999,Search!$E$5),OR(Search!$E$6="",ISNUMBER(SEARCH(Search!$E$6,$C171))),OR(Search!$E$7="All",Search!$E$7="",$D171=Search!$E$7),OR(Search!$E$8="",Search!$E$9="",AND($B171&lt;&gt;"",MOD($B171,1)&gt;=Search!$E$8,MOD($B171,1)&lt;=Search!$E$9))),1,0),0)</f>
        <v>0</v>
      </c>
      <c r="I171" s="79" t="n">
        <f aca="false">IF(H171&gt;N(H170),$E171,0)</f>
        <v>0</v>
      </c>
      <c r="J171" s="79" t="n">
        <f aca="false">IFERROR(IF(AND($A171&lt;&gt;"",$E171&lt;&gt;"",$A171&gt;=PeriodStart,$A171&lt;=PeriodEnd),$E171+ROW()/1000000,0),0)</f>
        <v>0</v>
      </c>
    </row>
    <row r="172" customFormat="false" ht="15" hidden="false" customHeight="false" outlineLevel="0" collapsed="false">
      <c r="A172" s="75"/>
      <c r="B172" s="76"/>
      <c r="C172" s="77"/>
      <c r="D172" s="77"/>
      <c r="E172" s="78"/>
      <c r="F172" s="77"/>
      <c r="G172" s="77"/>
      <c r="H172" s="79" t="n">
        <f aca="false">N(H171)+IFERROR(IF(AND($A172&lt;&gt;"",$E172&lt;&gt;"",$A172&gt;=IF(Search!$E$4="",0,Search!$E$4),$A172&lt;=IF(Search!$E$5="",99999,Search!$E$5),OR(Search!$E$6="",ISNUMBER(SEARCH(Search!$E$6,$C172))),OR(Search!$E$7="All",Search!$E$7="",$D172=Search!$E$7),OR(Search!$E$8="",Search!$E$9="",AND($B172&lt;&gt;"",MOD($B172,1)&gt;=Search!$E$8,MOD($B172,1)&lt;=Search!$E$9))),1,0),0)</f>
        <v>0</v>
      </c>
      <c r="I172" s="79" t="n">
        <f aca="false">IF(H172&gt;N(H171),$E172,0)</f>
        <v>0</v>
      </c>
      <c r="J172" s="79" t="n">
        <f aca="false">IFERROR(IF(AND($A172&lt;&gt;"",$E172&lt;&gt;"",$A172&gt;=PeriodStart,$A172&lt;=PeriodEnd),$E172+ROW()/1000000,0),0)</f>
        <v>0</v>
      </c>
    </row>
    <row r="173" customFormat="false" ht="15" hidden="false" customHeight="false" outlineLevel="0" collapsed="false">
      <c r="A173" s="75"/>
      <c r="B173" s="76"/>
      <c r="C173" s="77"/>
      <c r="D173" s="77"/>
      <c r="E173" s="78"/>
      <c r="F173" s="77"/>
      <c r="G173" s="77"/>
      <c r="H173" s="79" t="n">
        <f aca="false">N(H172)+IFERROR(IF(AND($A173&lt;&gt;"",$E173&lt;&gt;"",$A173&gt;=IF(Search!$E$4="",0,Search!$E$4),$A173&lt;=IF(Search!$E$5="",99999,Search!$E$5),OR(Search!$E$6="",ISNUMBER(SEARCH(Search!$E$6,$C173))),OR(Search!$E$7="All",Search!$E$7="",$D173=Search!$E$7),OR(Search!$E$8="",Search!$E$9="",AND($B173&lt;&gt;"",MOD($B173,1)&gt;=Search!$E$8,MOD($B173,1)&lt;=Search!$E$9))),1,0),0)</f>
        <v>0</v>
      </c>
      <c r="I173" s="79" t="n">
        <f aca="false">IF(H173&gt;N(H172),$E173,0)</f>
        <v>0</v>
      </c>
      <c r="J173" s="79" t="n">
        <f aca="false">IFERROR(IF(AND($A173&lt;&gt;"",$E173&lt;&gt;"",$A173&gt;=PeriodStart,$A173&lt;=PeriodEnd),$E173+ROW()/1000000,0),0)</f>
        <v>0</v>
      </c>
    </row>
    <row r="174" customFormat="false" ht="15" hidden="false" customHeight="false" outlineLevel="0" collapsed="false">
      <c r="A174" s="75"/>
      <c r="B174" s="76"/>
      <c r="C174" s="77"/>
      <c r="D174" s="77"/>
      <c r="E174" s="78"/>
      <c r="F174" s="77"/>
      <c r="G174" s="77"/>
      <c r="H174" s="79" t="n">
        <f aca="false">N(H173)+IFERROR(IF(AND($A174&lt;&gt;"",$E174&lt;&gt;"",$A174&gt;=IF(Search!$E$4="",0,Search!$E$4),$A174&lt;=IF(Search!$E$5="",99999,Search!$E$5),OR(Search!$E$6="",ISNUMBER(SEARCH(Search!$E$6,$C174))),OR(Search!$E$7="All",Search!$E$7="",$D174=Search!$E$7),OR(Search!$E$8="",Search!$E$9="",AND($B174&lt;&gt;"",MOD($B174,1)&gt;=Search!$E$8,MOD($B174,1)&lt;=Search!$E$9))),1,0),0)</f>
        <v>0</v>
      </c>
      <c r="I174" s="79" t="n">
        <f aca="false">IF(H174&gt;N(H173),$E174,0)</f>
        <v>0</v>
      </c>
      <c r="J174" s="79" t="n">
        <f aca="false">IFERROR(IF(AND($A174&lt;&gt;"",$E174&lt;&gt;"",$A174&gt;=PeriodStart,$A174&lt;=PeriodEnd),$E174+ROW()/1000000,0),0)</f>
        <v>0</v>
      </c>
    </row>
    <row r="175" customFormat="false" ht="15" hidden="false" customHeight="false" outlineLevel="0" collapsed="false">
      <c r="A175" s="75"/>
      <c r="B175" s="76"/>
      <c r="C175" s="77"/>
      <c r="D175" s="77"/>
      <c r="E175" s="78"/>
      <c r="F175" s="77"/>
      <c r="G175" s="77"/>
      <c r="H175" s="79" t="n">
        <f aca="false">N(H174)+IFERROR(IF(AND($A175&lt;&gt;"",$E175&lt;&gt;"",$A175&gt;=IF(Search!$E$4="",0,Search!$E$4),$A175&lt;=IF(Search!$E$5="",99999,Search!$E$5),OR(Search!$E$6="",ISNUMBER(SEARCH(Search!$E$6,$C175))),OR(Search!$E$7="All",Search!$E$7="",$D175=Search!$E$7),OR(Search!$E$8="",Search!$E$9="",AND($B175&lt;&gt;"",MOD($B175,1)&gt;=Search!$E$8,MOD($B175,1)&lt;=Search!$E$9))),1,0),0)</f>
        <v>0</v>
      </c>
      <c r="I175" s="79" t="n">
        <f aca="false">IF(H175&gt;N(H174),$E175,0)</f>
        <v>0</v>
      </c>
      <c r="J175" s="79" t="n">
        <f aca="false">IFERROR(IF(AND($A175&lt;&gt;"",$E175&lt;&gt;"",$A175&gt;=PeriodStart,$A175&lt;=PeriodEnd),$E175+ROW()/1000000,0),0)</f>
        <v>0</v>
      </c>
    </row>
    <row r="176" customFormat="false" ht="15" hidden="false" customHeight="false" outlineLevel="0" collapsed="false">
      <c r="A176" s="75"/>
      <c r="B176" s="76"/>
      <c r="C176" s="77"/>
      <c r="D176" s="77"/>
      <c r="E176" s="78"/>
      <c r="F176" s="77"/>
      <c r="G176" s="77"/>
      <c r="H176" s="79" t="n">
        <f aca="false">N(H175)+IFERROR(IF(AND($A176&lt;&gt;"",$E176&lt;&gt;"",$A176&gt;=IF(Search!$E$4="",0,Search!$E$4),$A176&lt;=IF(Search!$E$5="",99999,Search!$E$5),OR(Search!$E$6="",ISNUMBER(SEARCH(Search!$E$6,$C176))),OR(Search!$E$7="All",Search!$E$7="",$D176=Search!$E$7),OR(Search!$E$8="",Search!$E$9="",AND($B176&lt;&gt;"",MOD($B176,1)&gt;=Search!$E$8,MOD($B176,1)&lt;=Search!$E$9))),1,0),0)</f>
        <v>0</v>
      </c>
      <c r="I176" s="79" t="n">
        <f aca="false">IF(H176&gt;N(H175),$E176,0)</f>
        <v>0</v>
      </c>
      <c r="J176" s="79" t="n">
        <f aca="false">IFERROR(IF(AND($A176&lt;&gt;"",$E176&lt;&gt;"",$A176&gt;=PeriodStart,$A176&lt;=PeriodEnd),$E176+ROW()/1000000,0),0)</f>
        <v>0</v>
      </c>
    </row>
    <row r="177" customFormat="false" ht="15" hidden="false" customHeight="false" outlineLevel="0" collapsed="false">
      <c r="A177" s="75"/>
      <c r="B177" s="76"/>
      <c r="C177" s="77"/>
      <c r="D177" s="77"/>
      <c r="E177" s="78"/>
      <c r="F177" s="77"/>
      <c r="G177" s="77"/>
      <c r="H177" s="79" t="n">
        <f aca="false">N(H176)+IFERROR(IF(AND($A177&lt;&gt;"",$E177&lt;&gt;"",$A177&gt;=IF(Search!$E$4="",0,Search!$E$4),$A177&lt;=IF(Search!$E$5="",99999,Search!$E$5),OR(Search!$E$6="",ISNUMBER(SEARCH(Search!$E$6,$C177))),OR(Search!$E$7="All",Search!$E$7="",$D177=Search!$E$7),OR(Search!$E$8="",Search!$E$9="",AND($B177&lt;&gt;"",MOD($B177,1)&gt;=Search!$E$8,MOD($B177,1)&lt;=Search!$E$9))),1,0),0)</f>
        <v>0</v>
      </c>
      <c r="I177" s="79" t="n">
        <f aca="false">IF(H177&gt;N(H176),$E177,0)</f>
        <v>0</v>
      </c>
      <c r="J177" s="79" t="n">
        <f aca="false">IFERROR(IF(AND($A177&lt;&gt;"",$E177&lt;&gt;"",$A177&gt;=PeriodStart,$A177&lt;=PeriodEnd),$E177+ROW()/1000000,0),0)</f>
        <v>0</v>
      </c>
    </row>
    <row r="178" customFormat="false" ht="15" hidden="false" customHeight="false" outlineLevel="0" collapsed="false">
      <c r="A178" s="75"/>
      <c r="B178" s="76"/>
      <c r="C178" s="77"/>
      <c r="D178" s="77"/>
      <c r="E178" s="78"/>
      <c r="F178" s="77"/>
      <c r="G178" s="77"/>
      <c r="H178" s="79" t="n">
        <f aca="false">N(H177)+IFERROR(IF(AND($A178&lt;&gt;"",$E178&lt;&gt;"",$A178&gt;=IF(Search!$E$4="",0,Search!$E$4),$A178&lt;=IF(Search!$E$5="",99999,Search!$E$5),OR(Search!$E$6="",ISNUMBER(SEARCH(Search!$E$6,$C178))),OR(Search!$E$7="All",Search!$E$7="",$D178=Search!$E$7),OR(Search!$E$8="",Search!$E$9="",AND($B178&lt;&gt;"",MOD($B178,1)&gt;=Search!$E$8,MOD($B178,1)&lt;=Search!$E$9))),1,0),0)</f>
        <v>0</v>
      </c>
      <c r="I178" s="79" t="n">
        <f aca="false">IF(H178&gt;N(H177),$E178,0)</f>
        <v>0</v>
      </c>
      <c r="J178" s="79" t="n">
        <f aca="false">IFERROR(IF(AND($A178&lt;&gt;"",$E178&lt;&gt;"",$A178&gt;=PeriodStart,$A178&lt;=PeriodEnd),$E178+ROW()/1000000,0),0)</f>
        <v>0</v>
      </c>
    </row>
    <row r="179" customFormat="false" ht="15" hidden="false" customHeight="false" outlineLevel="0" collapsed="false">
      <c r="A179" s="75"/>
      <c r="B179" s="76"/>
      <c r="C179" s="77"/>
      <c r="D179" s="77"/>
      <c r="E179" s="78"/>
      <c r="F179" s="77"/>
      <c r="G179" s="77"/>
      <c r="H179" s="79" t="n">
        <f aca="false">N(H178)+IFERROR(IF(AND($A179&lt;&gt;"",$E179&lt;&gt;"",$A179&gt;=IF(Search!$E$4="",0,Search!$E$4),$A179&lt;=IF(Search!$E$5="",99999,Search!$E$5),OR(Search!$E$6="",ISNUMBER(SEARCH(Search!$E$6,$C179))),OR(Search!$E$7="All",Search!$E$7="",$D179=Search!$E$7),OR(Search!$E$8="",Search!$E$9="",AND($B179&lt;&gt;"",MOD($B179,1)&gt;=Search!$E$8,MOD($B179,1)&lt;=Search!$E$9))),1,0),0)</f>
        <v>0</v>
      </c>
      <c r="I179" s="79" t="n">
        <f aca="false">IF(H179&gt;N(H178),$E179,0)</f>
        <v>0</v>
      </c>
      <c r="J179" s="79" t="n">
        <f aca="false">IFERROR(IF(AND($A179&lt;&gt;"",$E179&lt;&gt;"",$A179&gt;=PeriodStart,$A179&lt;=PeriodEnd),$E179+ROW()/1000000,0),0)</f>
        <v>0</v>
      </c>
    </row>
    <row r="180" customFormat="false" ht="15" hidden="false" customHeight="false" outlineLevel="0" collapsed="false">
      <c r="A180" s="75"/>
      <c r="B180" s="76"/>
      <c r="C180" s="77"/>
      <c r="D180" s="77"/>
      <c r="E180" s="78"/>
      <c r="F180" s="77"/>
      <c r="G180" s="77"/>
      <c r="H180" s="79" t="n">
        <f aca="false">N(H179)+IFERROR(IF(AND($A180&lt;&gt;"",$E180&lt;&gt;"",$A180&gt;=IF(Search!$E$4="",0,Search!$E$4),$A180&lt;=IF(Search!$E$5="",99999,Search!$E$5),OR(Search!$E$6="",ISNUMBER(SEARCH(Search!$E$6,$C180))),OR(Search!$E$7="All",Search!$E$7="",$D180=Search!$E$7),OR(Search!$E$8="",Search!$E$9="",AND($B180&lt;&gt;"",MOD($B180,1)&gt;=Search!$E$8,MOD($B180,1)&lt;=Search!$E$9))),1,0),0)</f>
        <v>0</v>
      </c>
      <c r="I180" s="79" t="n">
        <f aca="false">IF(H180&gt;N(H179),$E180,0)</f>
        <v>0</v>
      </c>
      <c r="J180" s="79" t="n">
        <f aca="false">IFERROR(IF(AND($A180&lt;&gt;"",$E180&lt;&gt;"",$A180&gt;=PeriodStart,$A180&lt;=PeriodEnd),$E180+ROW()/1000000,0),0)</f>
        <v>0</v>
      </c>
    </row>
    <row r="181" customFormat="false" ht="15" hidden="false" customHeight="false" outlineLevel="0" collapsed="false">
      <c r="A181" s="75"/>
      <c r="B181" s="76"/>
      <c r="C181" s="77"/>
      <c r="D181" s="77"/>
      <c r="E181" s="78"/>
      <c r="F181" s="77"/>
      <c r="G181" s="77"/>
      <c r="H181" s="79" t="n">
        <f aca="false">N(H180)+IFERROR(IF(AND($A181&lt;&gt;"",$E181&lt;&gt;"",$A181&gt;=IF(Search!$E$4="",0,Search!$E$4),$A181&lt;=IF(Search!$E$5="",99999,Search!$E$5),OR(Search!$E$6="",ISNUMBER(SEARCH(Search!$E$6,$C181))),OR(Search!$E$7="All",Search!$E$7="",$D181=Search!$E$7),OR(Search!$E$8="",Search!$E$9="",AND($B181&lt;&gt;"",MOD($B181,1)&gt;=Search!$E$8,MOD($B181,1)&lt;=Search!$E$9))),1,0),0)</f>
        <v>0</v>
      </c>
      <c r="I181" s="79" t="n">
        <f aca="false">IF(H181&gt;N(H180),$E181,0)</f>
        <v>0</v>
      </c>
      <c r="J181" s="79" t="n">
        <f aca="false">IFERROR(IF(AND($A181&lt;&gt;"",$E181&lt;&gt;"",$A181&gt;=PeriodStart,$A181&lt;=PeriodEnd),$E181+ROW()/1000000,0),0)</f>
        <v>0</v>
      </c>
    </row>
    <row r="182" customFormat="false" ht="15" hidden="false" customHeight="false" outlineLevel="0" collapsed="false">
      <c r="A182" s="75"/>
      <c r="B182" s="76"/>
      <c r="C182" s="77"/>
      <c r="D182" s="77"/>
      <c r="E182" s="78"/>
      <c r="F182" s="77"/>
      <c r="G182" s="77"/>
      <c r="H182" s="79" t="n">
        <f aca="false">N(H181)+IFERROR(IF(AND($A182&lt;&gt;"",$E182&lt;&gt;"",$A182&gt;=IF(Search!$E$4="",0,Search!$E$4),$A182&lt;=IF(Search!$E$5="",99999,Search!$E$5),OR(Search!$E$6="",ISNUMBER(SEARCH(Search!$E$6,$C182))),OR(Search!$E$7="All",Search!$E$7="",$D182=Search!$E$7),OR(Search!$E$8="",Search!$E$9="",AND($B182&lt;&gt;"",MOD($B182,1)&gt;=Search!$E$8,MOD($B182,1)&lt;=Search!$E$9))),1,0),0)</f>
        <v>0</v>
      </c>
      <c r="I182" s="79" t="n">
        <f aca="false">IF(H182&gt;N(H181),$E182,0)</f>
        <v>0</v>
      </c>
      <c r="J182" s="79" t="n">
        <f aca="false">IFERROR(IF(AND($A182&lt;&gt;"",$E182&lt;&gt;"",$A182&gt;=PeriodStart,$A182&lt;=PeriodEnd),$E182+ROW()/1000000,0),0)</f>
        <v>0</v>
      </c>
    </row>
    <row r="183" customFormat="false" ht="15" hidden="false" customHeight="false" outlineLevel="0" collapsed="false">
      <c r="A183" s="75"/>
      <c r="B183" s="76"/>
      <c r="C183" s="77"/>
      <c r="D183" s="77"/>
      <c r="E183" s="78"/>
      <c r="F183" s="77"/>
      <c r="G183" s="77"/>
      <c r="H183" s="79" t="n">
        <f aca="false">N(H182)+IFERROR(IF(AND($A183&lt;&gt;"",$E183&lt;&gt;"",$A183&gt;=IF(Search!$E$4="",0,Search!$E$4),$A183&lt;=IF(Search!$E$5="",99999,Search!$E$5),OR(Search!$E$6="",ISNUMBER(SEARCH(Search!$E$6,$C183))),OR(Search!$E$7="All",Search!$E$7="",$D183=Search!$E$7),OR(Search!$E$8="",Search!$E$9="",AND($B183&lt;&gt;"",MOD($B183,1)&gt;=Search!$E$8,MOD($B183,1)&lt;=Search!$E$9))),1,0),0)</f>
        <v>0</v>
      </c>
      <c r="I183" s="79" t="n">
        <f aca="false">IF(H183&gt;N(H182),$E183,0)</f>
        <v>0</v>
      </c>
      <c r="J183" s="79" t="n">
        <f aca="false">IFERROR(IF(AND($A183&lt;&gt;"",$E183&lt;&gt;"",$A183&gt;=PeriodStart,$A183&lt;=PeriodEnd),$E183+ROW()/1000000,0),0)</f>
        <v>0</v>
      </c>
    </row>
    <row r="184" customFormat="false" ht="15" hidden="false" customHeight="false" outlineLevel="0" collapsed="false">
      <c r="A184" s="75"/>
      <c r="B184" s="76"/>
      <c r="C184" s="77"/>
      <c r="D184" s="77"/>
      <c r="E184" s="78"/>
      <c r="F184" s="77"/>
      <c r="G184" s="77"/>
      <c r="H184" s="79" t="n">
        <f aca="false">N(H183)+IFERROR(IF(AND($A184&lt;&gt;"",$E184&lt;&gt;"",$A184&gt;=IF(Search!$E$4="",0,Search!$E$4),$A184&lt;=IF(Search!$E$5="",99999,Search!$E$5),OR(Search!$E$6="",ISNUMBER(SEARCH(Search!$E$6,$C184))),OR(Search!$E$7="All",Search!$E$7="",$D184=Search!$E$7),OR(Search!$E$8="",Search!$E$9="",AND($B184&lt;&gt;"",MOD($B184,1)&gt;=Search!$E$8,MOD($B184,1)&lt;=Search!$E$9))),1,0),0)</f>
        <v>0</v>
      </c>
      <c r="I184" s="79" t="n">
        <f aca="false">IF(H184&gt;N(H183),$E184,0)</f>
        <v>0</v>
      </c>
      <c r="J184" s="79" t="n">
        <f aca="false">IFERROR(IF(AND($A184&lt;&gt;"",$E184&lt;&gt;"",$A184&gt;=PeriodStart,$A184&lt;=PeriodEnd),$E184+ROW()/1000000,0),0)</f>
        <v>0</v>
      </c>
    </row>
    <row r="185" customFormat="false" ht="15" hidden="false" customHeight="false" outlineLevel="0" collapsed="false">
      <c r="A185" s="75"/>
      <c r="B185" s="76"/>
      <c r="C185" s="77"/>
      <c r="D185" s="77"/>
      <c r="E185" s="78"/>
      <c r="F185" s="77"/>
      <c r="G185" s="77"/>
      <c r="H185" s="79" t="n">
        <f aca="false">N(H184)+IFERROR(IF(AND($A185&lt;&gt;"",$E185&lt;&gt;"",$A185&gt;=IF(Search!$E$4="",0,Search!$E$4),$A185&lt;=IF(Search!$E$5="",99999,Search!$E$5),OR(Search!$E$6="",ISNUMBER(SEARCH(Search!$E$6,$C185))),OR(Search!$E$7="All",Search!$E$7="",$D185=Search!$E$7),OR(Search!$E$8="",Search!$E$9="",AND($B185&lt;&gt;"",MOD($B185,1)&gt;=Search!$E$8,MOD($B185,1)&lt;=Search!$E$9))),1,0),0)</f>
        <v>0</v>
      </c>
      <c r="I185" s="79" t="n">
        <f aca="false">IF(H185&gt;N(H184),$E185,0)</f>
        <v>0</v>
      </c>
      <c r="J185" s="79" t="n">
        <f aca="false">IFERROR(IF(AND($A185&lt;&gt;"",$E185&lt;&gt;"",$A185&gt;=PeriodStart,$A185&lt;=PeriodEnd),$E185+ROW()/1000000,0),0)</f>
        <v>0</v>
      </c>
    </row>
    <row r="186" customFormat="false" ht="15" hidden="false" customHeight="false" outlineLevel="0" collapsed="false">
      <c r="A186" s="75"/>
      <c r="B186" s="76"/>
      <c r="C186" s="77"/>
      <c r="D186" s="77"/>
      <c r="E186" s="78"/>
      <c r="F186" s="77"/>
      <c r="G186" s="77"/>
      <c r="H186" s="79" t="n">
        <f aca="false">N(H185)+IFERROR(IF(AND($A186&lt;&gt;"",$E186&lt;&gt;"",$A186&gt;=IF(Search!$E$4="",0,Search!$E$4),$A186&lt;=IF(Search!$E$5="",99999,Search!$E$5),OR(Search!$E$6="",ISNUMBER(SEARCH(Search!$E$6,$C186))),OR(Search!$E$7="All",Search!$E$7="",$D186=Search!$E$7),OR(Search!$E$8="",Search!$E$9="",AND($B186&lt;&gt;"",MOD($B186,1)&gt;=Search!$E$8,MOD($B186,1)&lt;=Search!$E$9))),1,0),0)</f>
        <v>0</v>
      </c>
      <c r="I186" s="79" t="n">
        <f aca="false">IF(H186&gt;N(H185),$E186,0)</f>
        <v>0</v>
      </c>
      <c r="J186" s="79" t="n">
        <f aca="false">IFERROR(IF(AND($A186&lt;&gt;"",$E186&lt;&gt;"",$A186&gt;=PeriodStart,$A186&lt;=PeriodEnd),$E186+ROW()/1000000,0),0)</f>
        <v>0</v>
      </c>
    </row>
    <row r="187" customFormat="false" ht="15" hidden="false" customHeight="false" outlineLevel="0" collapsed="false">
      <c r="A187" s="75"/>
      <c r="B187" s="76"/>
      <c r="C187" s="77"/>
      <c r="D187" s="77"/>
      <c r="E187" s="78"/>
      <c r="F187" s="77"/>
      <c r="G187" s="77"/>
      <c r="H187" s="79" t="n">
        <f aca="false">N(H186)+IFERROR(IF(AND($A187&lt;&gt;"",$E187&lt;&gt;"",$A187&gt;=IF(Search!$E$4="",0,Search!$E$4),$A187&lt;=IF(Search!$E$5="",99999,Search!$E$5),OR(Search!$E$6="",ISNUMBER(SEARCH(Search!$E$6,$C187))),OR(Search!$E$7="All",Search!$E$7="",$D187=Search!$E$7),OR(Search!$E$8="",Search!$E$9="",AND($B187&lt;&gt;"",MOD($B187,1)&gt;=Search!$E$8,MOD($B187,1)&lt;=Search!$E$9))),1,0),0)</f>
        <v>0</v>
      </c>
      <c r="I187" s="79" t="n">
        <f aca="false">IF(H187&gt;N(H186),$E187,0)</f>
        <v>0</v>
      </c>
      <c r="J187" s="79" t="n">
        <f aca="false">IFERROR(IF(AND($A187&lt;&gt;"",$E187&lt;&gt;"",$A187&gt;=PeriodStart,$A187&lt;=PeriodEnd),$E187+ROW()/1000000,0),0)</f>
        <v>0</v>
      </c>
    </row>
    <row r="188" customFormat="false" ht="15" hidden="false" customHeight="false" outlineLevel="0" collapsed="false">
      <c r="A188" s="75"/>
      <c r="B188" s="76"/>
      <c r="C188" s="77"/>
      <c r="D188" s="77"/>
      <c r="E188" s="78"/>
      <c r="F188" s="77"/>
      <c r="G188" s="77"/>
      <c r="H188" s="79" t="n">
        <f aca="false">N(H187)+IFERROR(IF(AND($A188&lt;&gt;"",$E188&lt;&gt;"",$A188&gt;=IF(Search!$E$4="",0,Search!$E$4),$A188&lt;=IF(Search!$E$5="",99999,Search!$E$5),OR(Search!$E$6="",ISNUMBER(SEARCH(Search!$E$6,$C188))),OR(Search!$E$7="All",Search!$E$7="",$D188=Search!$E$7),OR(Search!$E$8="",Search!$E$9="",AND($B188&lt;&gt;"",MOD($B188,1)&gt;=Search!$E$8,MOD($B188,1)&lt;=Search!$E$9))),1,0),0)</f>
        <v>0</v>
      </c>
      <c r="I188" s="79" t="n">
        <f aca="false">IF(H188&gt;N(H187),$E188,0)</f>
        <v>0</v>
      </c>
      <c r="J188" s="79" t="n">
        <f aca="false">IFERROR(IF(AND($A188&lt;&gt;"",$E188&lt;&gt;"",$A188&gt;=PeriodStart,$A188&lt;=PeriodEnd),$E188+ROW()/1000000,0),0)</f>
        <v>0</v>
      </c>
    </row>
    <row r="189" customFormat="false" ht="15" hidden="false" customHeight="false" outlineLevel="0" collapsed="false">
      <c r="A189" s="75"/>
      <c r="B189" s="76"/>
      <c r="C189" s="77"/>
      <c r="D189" s="77"/>
      <c r="E189" s="78"/>
      <c r="F189" s="77"/>
      <c r="G189" s="77"/>
      <c r="H189" s="79" t="n">
        <f aca="false">N(H188)+IFERROR(IF(AND($A189&lt;&gt;"",$E189&lt;&gt;"",$A189&gt;=IF(Search!$E$4="",0,Search!$E$4),$A189&lt;=IF(Search!$E$5="",99999,Search!$E$5),OR(Search!$E$6="",ISNUMBER(SEARCH(Search!$E$6,$C189))),OR(Search!$E$7="All",Search!$E$7="",$D189=Search!$E$7),OR(Search!$E$8="",Search!$E$9="",AND($B189&lt;&gt;"",MOD($B189,1)&gt;=Search!$E$8,MOD($B189,1)&lt;=Search!$E$9))),1,0),0)</f>
        <v>0</v>
      </c>
      <c r="I189" s="79" t="n">
        <f aca="false">IF(H189&gt;N(H188),$E189,0)</f>
        <v>0</v>
      </c>
      <c r="J189" s="79" t="n">
        <f aca="false">IFERROR(IF(AND($A189&lt;&gt;"",$E189&lt;&gt;"",$A189&gt;=PeriodStart,$A189&lt;=PeriodEnd),$E189+ROW()/1000000,0),0)</f>
        <v>0</v>
      </c>
    </row>
    <row r="190" customFormat="false" ht="15" hidden="false" customHeight="false" outlineLevel="0" collapsed="false">
      <c r="A190" s="75"/>
      <c r="B190" s="76"/>
      <c r="C190" s="77"/>
      <c r="D190" s="77"/>
      <c r="E190" s="78"/>
      <c r="F190" s="77"/>
      <c r="G190" s="77"/>
      <c r="H190" s="79" t="n">
        <f aca="false">N(H189)+IFERROR(IF(AND($A190&lt;&gt;"",$E190&lt;&gt;"",$A190&gt;=IF(Search!$E$4="",0,Search!$E$4),$A190&lt;=IF(Search!$E$5="",99999,Search!$E$5),OR(Search!$E$6="",ISNUMBER(SEARCH(Search!$E$6,$C190))),OR(Search!$E$7="All",Search!$E$7="",$D190=Search!$E$7),OR(Search!$E$8="",Search!$E$9="",AND($B190&lt;&gt;"",MOD($B190,1)&gt;=Search!$E$8,MOD($B190,1)&lt;=Search!$E$9))),1,0),0)</f>
        <v>0</v>
      </c>
      <c r="I190" s="79" t="n">
        <f aca="false">IF(H190&gt;N(H189),$E190,0)</f>
        <v>0</v>
      </c>
      <c r="J190" s="79" t="n">
        <f aca="false">IFERROR(IF(AND($A190&lt;&gt;"",$E190&lt;&gt;"",$A190&gt;=PeriodStart,$A190&lt;=PeriodEnd),$E190+ROW()/1000000,0),0)</f>
        <v>0</v>
      </c>
    </row>
    <row r="191" customFormat="false" ht="15" hidden="false" customHeight="false" outlineLevel="0" collapsed="false">
      <c r="A191" s="75"/>
      <c r="B191" s="76"/>
      <c r="C191" s="77"/>
      <c r="D191" s="77"/>
      <c r="E191" s="78"/>
      <c r="F191" s="77"/>
      <c r="G191" s="77"/>
      <c r="H191" s="79" t="n">
        <f aca="false">N(H190)+IFERROR(IF(AND($A191&lt;&gt;"",$E191&lt;&gt;"",$A191&gt;=IF(Search!$E$4="",0,Search!$E$4),$A191&lt;=IF(Search!$E$5="",99999,Search!$E$5),OR(Search!$E$6="",ISNUMBER(SEARCH(Search!$E$6,$C191))),OR(Search!$E$7="All",Search!$E$7="",$D191=Search!$E$7),OR(Search!$E$8="",Search!$E$9="",AND($B191&lt;&gt;"",MOD($B191,1)&gt;=Search!$E$8,MOD($B191,1)&lt;=Search!$E$9))),1,0),0)</f>
        <v>0</v>
      </c>
      <c r="I191" s="79" t="n">
        <f aca="false">IF(H191&gt;N(H190),$E191,0)</f>
        <v>0</v>
      </c>
      <c r="J191" s="79" t="n">
        <f aca="false">IFERROR(IF(AND($A191&lt;&gt;"",$E191&lt;&gt;"",$A191&gt;=PeriodStart,$A191&lt;=PeriodEnd),$E191+ROW()/1000000,0),0)</f>
        <v>0</v>
      </c>
    </row>
    <row r="192" customFormat="false" ht="15" hidden="false" customHeight="false" outlineLevel="0" collapsed="false">
      <c r="A192" s="75"/>
      <c r="B192" s="76"/>
      <c r="C192" s="77"/>
      <c r="D192" s="77"/>
      <c r="E192" s="78"/>
      <c r="F192" s="77"/>
      <c r="G192" s="77"/>
      <c r="H192" s="79" t="n">
        <f aca="false">N(H191)+IFERROR(IF(AND($A192&lt;&gt;"",$E192&lt;&gt;"",$A192&gt;=IF(Search!$E$4="",0,Search!$E$4),$A192&lt;=IF(Search!$E$5="",99999,Search!$E$5),OR(Search!$E$6="",ISNUMBER(SEARCH(Search!$E$6,$C192))),OR(Search!$E$7="All",Search!$E$7="",$D192=Search!$E$7),OR(Search!$E$8="",Search!$E$9="",AND($B192&lt;&gt;"",MOD($B192,1)&gt;=Search!$E$8,MOD($B192,1)&lt;=Search!$E$9))),1,0),0)</f>
        <v>0</v>
      </c>
      <c r="I192" s="79" t="n">
        <f aca="false">IF(H192&gt;N(H191),$E192,0)</f>
        <v>0</v>
      </c>
      <c r="J192" s="79" t="n">
        <f aca="false">IFERROR(IF(AND($A192&lt;&gt;"",$E192&lt;&gt;"",$A192&gt;=PeriodStart,$A192&lt;=PeriodEnd),$E192+ROW()/1000000,0),0)</f>
        <v>0</v>
      </c>
    </row>
    <row r="193" customFormat="false" ht="15" hidden="false" customHeight="false" outlineLevel="0" collapsed="false">
      <c r="A193" s="75"/>
      <c r="B193" s="76"/>
      <c r="C193" s="77"/>
      <c r="D193" s="77"/>
      <c r="E193" s="78"/>
      <c r="F193" s="77"/>
      <c r="G193" s="77"/>
      <c r="H193" s="79" t="n">
        <f aca="false">N(H192)+IFERROR(IF(AND($A193&lt;&gt;"",$E193&lt;&gt;"",$A193&gt;=IF(Search!$E$4="",0,Search!$E$4),$A193&lt;=IF(Search!$E$5="",99999,Search!$E$5),OR(Search!$E$6="",ISNUMBER(SEARCH(Search!$E$6,$C193))),OR(Search!$E$7="All",Search!$E$7="",$D193=Search!$E$7),OR(Search!$E$8="",Search!$E$9="",AND($B193&lt;&gt;"",MOD($B193,1)&gt;=Search!$E$8,MOD($B193,1)&lt;=Search!$E$9))),1,0),0)</f>
        <v>0</v>
      </c>
      <c r="I193" s="79" t="n">
        <f aca="false">IF(H193&gt;N(H192),$E193,0)</f>
        <v>0</v>
      </c>
      <c r="J193" s="79" t="n">
        <f aca="false">IFERROR(IF(AND($A193&lt;&gt;"",$E193&lt;&gt;"",$A193&gt;=PeriodStart,$A193&lt;=PeriodEnd),$E193+ROW()/1000000,0),0)</f>
        <v>0</v>
      </c>
    </row>
    <row r="194" customFormat="false" ht="15" hidden="false" customHeight="false" outlineLevel="0" collapsed="false">
      <c r="A194" s="75"/>
      <c r="B194" s="76"/>
      <c r="C194" s="77"/>
      <c r="D194" s="77"/>
      <c r="E194" s="78"/>
      <c r="F194" s="77"/>
      <c r="G194" s="77"/>
      <c r="H194" s="79" t="n">
        <f aca="false">N(H193)+IFERROR(IF(AND($A194&lt;&gt;"",$E194&lt;&gt;"",$A194&gt;=IF(Search!$E$4="",0,Search!$E$4),$A194&lt;=IF(Search!$E$5="",99999,Search!$E$5),OR(Search!$E$6="",ISNUMBER(SEARCH(Search!$E$6,$C194))),OR(Search!$E$7="All",Search!$E$7="",$D194=Search!$E$7),OR(Search!$E$8="",Search!$E$9="",AND($B194&lt;&gt;"",MOD($B194,1)&gt;=Search!$E$8,MOD($B194,1)&lt;=Search!$E$9))),1,0),0)</f>
        <v>0</v>
      </c>
      <c r="I194" s="79" t="n">
        <f aca="false">IF(H194&gt;N(H193),$E194,0)</f>
        <v>0</v>
      </c>
      <c r="J194" s="79" t="n">
        <f aca="false">IFERROR(IF(AND($A194&lt;&gt;"",$E194&lt;&gt;"",$A194&gt;=PeriodStart,$A194&lt;=PeriodEnd),$E194+ROW()/1000000,0),0)</f>
        <v>0</v>
      </c>
    </row>
    <row r="195" customFormat="false" ht="15" hidden="false" customHeight="false" outlineLevel="0" collapsed="false">
      <c r="A195" s="75"/>
      <c r="B195" s="76"/>
      <c r="C195" s="77"/>
      <c r="D195" s="77"/>
      <c r="E195" s="78"/>
      <c r="F195" s="77"/>
      <c r="G195" s="77"/>
      <c r="H195" s="79" t="n">
        <f aca="false">N(H194)+IFERROR(IF(AND($A195&lt;&gt;"",$E195&lt;&gt;"",$A195&gt;=IF(Search!$E$4="",0,Search!$E$4),$A195&lt;=IF(Search!$E$5="",99999,Search!$E$5),OR(Search!$E$6="",ISNUMBER(SEARCH(Search!$E$6,$C195))),OR(Search!$E$7="All",Search!$E$7="",$D195=Search!$E$7),OR(Search!$E$8="",Search!$E$9="",AND($B195&lt;&gt;"",MOD($B195,1)&gt;=Search!$E$8,MOD($B195,1)&lt;=Search!$E$9))),1,0),0)</f>
        <v>0</v>
      </c>
      <c r="I195" s="79" t="n">
        <f aca="false">IF(H195&gt;N(H194),$E195,0)</f>
        <v>0</v>
      </c>
      <c r="J195" s="79" t="n">
        <f aca="false">IFERROR(IF(AND($A195&lt;&gt;"",$E195&lt;&gt;"",$A195&gt;=PeriodStart,$A195&lt;=PeriodEnd),$E195+ROW()/1000000,0),0)</f>
        <v>0</v>
      </c>
    </row>
    <row r="196" customFormat="false" ht="15" hidden="false" customHeight="false" outlineLevel="0" collapsed="false">
      <c r="A196" s="75"/>
      <c r="B196" s="76"/>
      <c r="C196" s="77"/>
      <c r="D196" s="77"/>
      <c r="E196" s="78"/>
      <c r="F196" s="77"/>
      <c r="G196" s="77"/>
      <c r="H196" s="79" t="n">
        <f aca="false">N(H195)+IFERROR(IF(AND($A196&lt;&gt;"",$E196&lt;&gt;"",$A196&gt;=IF(Search!$E$4="",0,Search!$E$4),$A196&lt;=IF(Search!$E$5="",99999,Search!$E$5),OR(Search!$E$6="",ISNUMBER(SEARCH(Search!$E$6,$C196))),OR(Search!$E$7="All",Search!$E$7="",$D196=Search!$E$7),OR(Search!$E$8="",Search!$E$9="",AND($B196&lt;&gt;"",MOD($B196,1)&gt;=Search!$E$8,MOD($B196,1)&lt;=Search!$E$9))),1,0),0)</f>
        <v>0</v>
      </c>
      <c r="I196" s="79" t="n">
        <f aca="false">IF(H196&gt;N(H195),$E196,0)</f>
        <v>0</v>
      </c>
      <c r="J196" s="79" t="n">
        <f aca="false">IFERROR(IF(AND($A196&lt;&gt;"",$E196&lt;&gt;"",$A196&gt;=PeriodStart,$A196&lt;=PeriodEnd),$E196+ROW()/1000000,0),0)</f>
        <v>0</v>
      </c>
    </row>
    <row r="197" customFormat="false" ht="15" hidden="false" customHeight="false" outlineLevel="0" collapsed="false">
      <c r="A197" s="75"/>
      <c r="B197" s="76"/>
      <c r="C197" s="77"/>
      <c r="D197" s="77"/>
      <c r="E197" s="78"/>
      <c r="F197" s="77"/>
      <c r="G197" s="77"/>
      <c r="H197" s="79" t="n">
        <f aca="false">N(H196)+IFERROR(IF(AND($A197&lt;&gt;"",$E197&lt;&gt;"",$A197&gt;=IF(Search!$E$4="",0,Search!$E$4),$A197&lt;=IF(Search!$E$5="",99999,Search!$E$5),OR(Search!$E$6="",ISNUMBER(SEARCH(Search!$E$6,$C197))),OR(Search!$E$7="All",Search!$E$7="",$D197=Search!$E$7),OR(Search!$E$8="",Search!$E$9="",AND($B197&lt;&gt;"",MOD($B197,1)&gt;=Search!$E$8,MOD($B197,1)&lt;=Search!$E$9))),1,0),0)</f>
        <v>0</v>
      </c>
      <c r="I197" s="79" t="n">
        <f aca="false">IF(H197&gt;N(H196),$E197,0)</f>
        <v>0</v>
      </c>
      <c r="J197" s="79" t="n">
        <f aca="false">IFERROR(IF(AND($A197&lt;&gt;"",$E197&lt;&gt;"",$A197&gt;=PeriodStart,$A197&lt;=PeriodEnd),$E197+ROW()/1000000,0),0)</f>
        <v>0</v>
      </c>
    </row>
    <row r="198" customFormat="false" ht="15" hidden="false" customHeight="false" outlineLevel="0" collapsed="false">
      <c r="A198" s="75"/>
      <c r="B198" s="76"/>
      <c r="C198" s="77"/>
      <c r="D198" s="77"/>
      <c r="E198" s="78"/>
      <c r="F198" s="77"/>
      <c r="G198" s="77"/>
      <c r="H198" s="79" t="n">
        <f aca="false">N(H197)+IFERROR(IF(AND($A198&lt;&gt;"",$E198&lt;&gt;"",$A198&gt;=IF(Search!$E$4="",0,Search!$E$4),$A198&lt;=IF(Search!$E$5="",99999,Search!$E$5),OR(Search!$E$6="",ISNUMBER(SEARCH(Search!$E$6,$C198))),OR(Search!$E$7="All",Search!$E$7="",$D198=Search!$E$7),OR(Search!$E$8="",Search!$E$9="",AND($B198&lt;&gt;"",MOD($B198,1)&gt;=Search!$E$8,MOD($B198,1)&lt;=Search!$E$9))),1,0),0)</f>
        <v>0</v>
      </c>
      <c r="I198" s="79" t="n">
        <f aca="false">IF(H198&gt;N(H197),$E198,0)</f>
        <v>0</v>
      </c>
      <c r="J198" s="79" t="n">
        <f aca="false">IFERROR(IF(AND($A198&lt;&gt;"",$E198&lt;&gt;"",$A198&gt;=PeriodStart,$A198&lt;=PeriodEnd),$E198+ROW()/1000000,0),0)</f>
        <v>0</v>
      </c>
    </row>
    <row r="199" customFormat="false" ht="15" hidden="false" customHeight="false" outlineLevel="0" collapsed="false">
      <c r="A199" s="75"/>
      <c r="B199" s="76"/>
      <c r="C199" s="77"/>
      <c r="D199" s="77"/>
      <c r="E199" s="78"/>
      <c r="F199" s="77"/>
      <c r="G199" s="77"/>
      <c r="H199" s="79" t="n">
        <f aca="false">N(H198)+IFERROR(IF(AND($A199&lt;&gt;"",$E199&lt;&gt;"",$A199&gt;=IF(Search!$E$4="",0,Search!$E$4),$A199&lt;=IF(Search!$E$5="",99999,Search!$E$5),OR(Search!$E$6="",ISNUMBER(SEARCH(Search!$E$6,$C199))),OR(Search!$E$7="All",Search!$E$7="",$D199=Search!$E$7),OR(Search!$E$8="",Search!$E$9="",AND($B199&lt;&gt;"",MOD($B199,1)&gt;=Search!$E$8,MOD($B199,1)&lt;=Search!$E$9))),1,0),0)</f>
        <v>0</v>
      </c>
      <c r="I199" s="79" t="n">
        <f aca="false">IF(H199&gt;N(H198),$E199,0)</f>
        <v>0</v>
      </c>
      <c r="J199" s="79" t="n">
        <f aca="false">IFERROR(IF(AND($A199&lt;&gt;"",$E199&lt;&gt;"",$A199&gt;=PeriodStart,$A199&lt;=PeriodEnd),$E199+ROW()/1000000,0),0)</f>
        <v>0</v>
      </c>
    </row>
    <row r="200" customFormat="false" ht="15" hidden="false" customHeight="false" outlineLevel="0" collapsed="false">
      <c r="A200" s="75"/>
      <c r="B200" s="76"/>
      <c r="C200" s="77"/>
      <c r="D200" s="77"/>
      <c r="E200" s="78"/>
      <c r="F200" s="77"/>
      <c r="G200" s="77"/>
      <c r="H200" s="79" t="n">
        <f aca="false">N(H199)+IFERROR(IF(AND($A200&lt;&gt;"",$E200&lt;&gt;"",$A200&gt;=IF(Search!$E$4="",0,Search!$E$4),$A200&lt;=IF(Search!$E$5="",99999,Search!$E$5),OR(Search!$E$6="",ISNUMBER(SEARCH(Search!$E$6,$C200))),OR(Search!$E$7="All",Search!$E$7="",$D200=Search!$E$7),OR(Search!$E$8="",Search!$E$9="",AND($B200&lt;&gt;"",MOD($B200,1)&gt;=Search!$E$8,MOD($B200,1)&lt;=Search!$E$9))),1,0),0)</f>
        <v>0</v>
      </c>
      <c r="I200" s="79" t="n">
        <f aca="false">IF(H200&gt;N(H199),$E200,0)</f>
        <v>0</v>
      </c>
      <c r="J200" s="79" t="n">
        <f aca="false">IFERROR(IF(AND($A200&lt;&gt;"",$E200&lt;&gt;"",$A200&gt;=PeriodStart,$A200&lt;=PeriodEnd),$E200+ROW()/1000000,0),0)</f>
        <v>0</v>
      </c>
    </row>
    <row r="201" customFormat="false" ht="15" hidden="false" customHeight="false" outlineLevel="0" collapsed="false">
      <c r="A201" s="75"/>
      <c r="B201" s="76"/>
      <c r="C201" s="77"/>
      <c r="D201" s="77"/>
      <c r="E201" s="78"/>
      <c r="F201" s="77"/>
      <c r="G201" s="77"/>
      <c r="H201" s="79" t="n">
        <f aca="false">N(H200)+IFERROR(IF(AND($A201&lt;&gt;"",$E201&lt;&gt;"",$A201&gt;=IF(Search!$E$4="",0,Search!$E$4),$A201&lt;=IF(Search!$E$5="",99999,Search!$E$5),OR(Search!$E$6="",ISNUMBER(SEARCH(Search!$E$6,$C201))),OR(Search!$E$7="All",Search!$E$7="",$D201=Search!$E$7),OR(Search!$E$8="",Search!$E$9="",AND($B201&lt;&gt;"",MOD($B201,1)&gt;=Search!$E$8,MOD($B201,1)&lt;=Search!$E$9))),1,0),0)</f>
        <v>0</v>
      </c>
      <c r="I201" s="79" t="n">
        <f aca="false">IF(H201&gt;N(H200),$E201,0)</f>
        <v>0</v>
      </c>
      <c r="J201" s="79" t="n">
        <f aca="false">IFERROR(IF(AND($A201&lt;&gt;"",$E201&lt;&gt;"",$A201&gt;=PeriodStart,$A201&lt;=PeriodEnd),$E201+ROW()/1000000,0),0)</f>
        <v>0</v>
      </c>
    </row>
    <row r="202" customFormat="false" ht="15" hidden="false" customHeight="false" outlineLevel="0" collapsed="false">
      <c r="A202" s="75"/>
      <c r="B202" s="76"/>
      <c r="C202" s="77"/>
      <c r="D202" s="77"/>
      <c r="E202" s="78"/>
      <c r="F202" s="77"/>
      <c r="G202" s="77"/>
      <c r="H202" s="79" t="n">
        <f aca="false">N(H201)+IFERROR(IF(AND($A202&lt;&gt;"",$E202&lt;&gt;"",$A202&gt;=IF(Search!$E$4="",0,Search!$E$4),$A202&lt;=IF(Search!$E$5="",99999,Search!$E$5),OR(Search!$E$6="",ISNUMBER(SEARCH(Search!$E$6,$C202))),OR(Search!$E$7="All",Search!$E$7="",$D202=Search!$E$7),OR(Search!$E$8="",Search!$E$9="",AND($B202&lt;&gt;"",MOD($B202,1)&gt;=Search!$E$8,MOD($B202,1)&lt;=Search!$E$9))),1,0),0)</f>
        <v>0</v>
      </c>
      <c r="I202" s="79" t="n">
        <f aca="false">IF(H202&gt;N(H201),$E202,0)</f>
        <v>0</v>
      </c>
      <c r="J202" s="79" t="n">
        <f aca="false">IFERROR(IF(AND($A202&lt;&gt;"",$E202&lt;&gt;"",$A202&gt;=PeriodStart,$A202&lt;=PeriodEnd),$E202+ROW()/1000000,0),0)</f>
        <v>0</v>
      </c>
    </row>
    <row r="203" customFormat="false" ht="15" hidden="false" customHeight="false" outlineLevel="0" collapsed="false">
      <c r="A203" s="75"/>
      <c r="B203" s="76"/>
      <c r="C203" s="77"/>
      <c r="D203" s="77"/>
      <c r="E203" s="78"/>
      <c r="F203" s="77"/>
      <c r="G203" s="77"/>
      <c r="H203" s="79" t="n">
        <f aca="false">N(H202)+IFERROR(IF(AND($A203&lt;&gt;"",$E203&lt;&gt;"",$A203&gt;=IF(Search!$E$4="",0,Search!$E$4),$A203&lt;=IF(Search!$E$5="",99999,Search!$E$5),OR(Search!$E$6="",ISNUMBER(SEARCH(Search!$E$6,$C203))),OR(Search!$E$7="All",Search!$E$7="",$D203=Search!$E$7),OR(Search!$E$8="",Search!$E$9="",AND($B203&lt;&gt;"",MOD($B203,1)&gt;=Search!$E$8,MOD($B203,1)&lt;=Search!$E$9))),1,0),0)</f>
        <v>0</v>
      </c>
      <c r="I203" s="79" t="n">
        <f aca="false">IF(H203&gt;N(H202),$E203,0)</f>
        <v>0</v>
      </c>
      <c r="J203" s="79" t="n">
        <f aca="false">IFERROR(IF(AND($A203&lt;&gt;"",$E203&lt;&gt;"",$A203&gt;=PeriodStart,$A203&lt;=PeriodEnd),$E203+ROW()/1000000,0),0)</f>
        <v>0</v>
      </c>
    </row>
    <row r="204" customFormat="false" ht="15" hidden="false" customHeight="false" outlineLevel="0" collapsed="false">
      <c r="A204" s="75"/>
      <c r="B204" s="76"/>
      <c r="C204" s="77"/>
      <c r="D204" s="77"/>
      <c r="E204" s="78"/>
      <c r="F204" s="77"/>
      <c r="G204" s="77"/>
      <c r="H204" s="79" t="n">
        <f aca="false">N(H203)+IFERROR(IF(AND($A204&lt;&gt;"",$E204&lt;&gt;"",$A204&gt;=IF(Search!$E$4="",0,Search!$E$4),$A204&lt;=IF(Search!$E$5="",99999,Search!$E$5),OR(Search!$E$6="",ISNUMBER(SEARCH(Search!$E$6,$C204))),OR(Search!$E$7="All",Search!$E$7="",$D204=Search!$E$7),OR(Search!$E$8="",Search!$E$9="",AND($B204&lt;&gt;"",MOD($B204,1)&gt;=Search!$E$8,MOD($B204,1)&lt;=Search!$E$9))),1,0),0)</f>
        <v>0</v>
      </c>
      <c r="I204" s="79" t="n">
        <f aca="false">IF(H204&gt;N(H203),$E204,0)</f>
        <v>0</v>
      </c>
      <c r="J204" s="79" t="n">
        <f aca="false">IFERROR(IF(AND($A204&lt;&gt;"",$E204&lt;&gt;"",$A204&gt;=PeriodStart,$A204&lt;=PeriodEnd),$E204+ROW()/1000000,0),0)</f>
        <v>0</v>
      </c>
    </row>
    <row r="205" customFormat="false" ht="15" hidden="false" customHeight="false" outlineLevel="0" collapsed="false">
      <c r="A205" s="75"/>
      <c r="B205" s="76"/>
      <c r="C205" s="77"/>
      <c r="D205" s="77"/>
      <c r="E205" s="78"/>
      <c r="F205" s="77"/>
      <c r="G205" s="77"/>
      <c r="H205" s="79" t="n">
        <f aca="false">N(H204)+IFERROR(IF(AND($A205&lt;&gt;"",$E205&lt;&gt;"",$A205&gt;=IF(Search!$E$4="",0,Search!$E$4),$A205&lt;=IF(Search!$E$5="",99999,Search!$E$5),OR(Search!$E$6="",ISNUMBER(SEARCH(Search!$E$6,$C205))),OR(Search!$E$7="All",Search!$E$7="",$D205=Search!$E$7),OR(Search!$E$8="",Search!$E$9="",AND($B205&lt;&gt;"",MOD($B205,1)&gt;=Search!$E$8,MOD($B205,1)&lt;=Search!$E$9))),1,0),0)</f>
        <v>0</v>
      </c>
      <c r="I205" s="79" t="n">
        <f aca="false">IF(H205&gt;N(H204),$E205,0)</f>
        <v>0</v>
      </c>
      <c r="J205" s="79" t="n">
        <f aca="false">IFERROR(IF(AND($A205&lt;&gt;"",$E205&lt;&gt;"",$A205&gt;=PeriodStart,$A205&lt;=PeriodEnd),$E205+ROW()/1000000,0),0)</f>
        <v>0</v>
      </c>
    </row>
    <row r="206" customFormat="false" ht="15" hidden="false" customHeight="false" outlineLevel="0" collapsed="false">
      <c r="A206" s="75"/>
      <c r="B206" s="76"/>
      <c r="C206" s="77"/>
      <c r="D206" s="77"/>
      <c r="E206" s="78"/>
      <c r="F206" s="77"/>
      <c r="G206" s="77"/>
      <c r="H206" s="79" t="n">
        <f aca="false">N(H205)+IFERROR(IF(AND($A206&lt;&gt;"",$E206&lt;&gt;"",$A206&gt;=IF(Search!$E$4="",0,Search!$E$4),$A206&lt;=IF(Search!$E$5="",99999,Search!$E$5),OR(Search!$E$6="",ISNUMBER(SEARCH(Search!$E$6,$C206))),OR(Search!$E$7="All",Search!$E$7="",$D206=Search!$E$7),OR(Search!$E$8="",Search!$E$9="",AND($B206&lt;&gt;"",MOD($B206,1)&gt;=Search!$E$8,MOD($B206,1)&lt;=Search!$E$9))),1,0),0)</f>
        <v>0</v>
      </c>
      <c r="I206" s="79" t="n">
        <f aca="false">IF(H206&gt;N(H205),$E206,0)</f>
        <v>0</v>
      </c>
      <c r="J206" s="79" t="n">
        <f aca="false">IFERROR(IF(AND($A206&lt;&gt;"",$E206&lt;&gt;"",$A206&gt;=PeriodStart,$A206&lt;=PeriodEnd),$E206+ROW()/1000000,0),0)</f>
        <v>0</v>
      </c>
    </row>
    <row r="207" customFormat="false" ht="15" hidden="false" customHeight="false" outlineLevel="0" collapsed="false">
      <c r="A207" s="75"/>
      <c r="B207" s="76"/>
      <c r="C207" s="77"/>
      <c r="D207" s="77"/>
      <c r="E207" s="78"/>
      <c r="F207" s="77"/>
      <c r="G207" s="77"/>
      <c r="H207" s="79" t="n">
        <f aca="false">N(H206)+IFERROR(IF(AND($A207&lt;&gt;"",$E207&lt;&gt;"",$A207&gt;=IF(Search!$E$4="",0,Search!$E$4),$A207&lt;=IF(Search!$E$5="",99999,Search!$E$5),OR(Search!$E$6="",ISNUMBER(SEARCH(Search!$E$6,$C207))),OR(Search!$E$7="All",Search!$E$7="",$D207=Search!$E$7),OR(Search!$E$8="",Search!$E$9="",AND($B207&lt;&gt;"",MOD($B207,1)&gt;=Search!$E$8,MOD($B207,1)&lt;=Search!$E$9))),1,0),0)</f>
        <v>0</v>
      </c>
      <c r="I207" s="79" t="n">
        <f aca="false">IF(H207&gt;N(H206),$E207,0)</f>
        <v>0</v>
      </c>
      <c r="J207" s="79" t="n">
        <f aca="false">IFERROR(IF(AND($A207&lt;&gt;"",$E207&lt;&gt;"",$A207&gt;=PeriodStart,$A207&lt;=PeriodEnd),$E207+ROW()/1000000,0),0)</f>
        <v>0</v>
      </c>
    </row>
    <row r="208" customFormat="false" ht="15" hidden="false" customHeight="false" outlineLevel="0" collapsed="false">
      <c r="A208" s="75"/>
      <c r="B208" s="76"/>
      <c r="C208" s="77"/>
      <c r="D208" s="77"/>
      <c r="E208" s="78"/>
      <c r="F208" s="77"/>
      <c r="G208" s="77"/>
      <c r="H208" s="79" t="n">
        <f aca="false">N(H207)+IFERROR(IF(AND($A208&lt;&gt;"",$E208&lt;&gt;"",$A208&gt;=IF(Search!$E$4="",0,Search!$E$4),$A208&lt;=IF(Search!$E$5="",99999,Search!$E$5),OR(Search!$E$6="",ISNUMBER(SEARCH(Search!$E$6,$C208))),OR(Search!$E$7="All",Search!$E$7="",$D208=Search!$E$7),OR(Search!$E$8="",Search!$E$9="",AND($B208&lt;&gt;"",MOD($B208,1)&gt;=Search!$E$8,MOD($B208,1)&lt;=Search!$E$9))),1,0),0)</f>
        <v>0</v>
      </c>
      <c r="I208" s="79" t="n">
        <f aca="false">IF(H208&gt;N(H207),$E208,0)</f>
        <v>0</v>
      </c>
      <c r="J208" s="79" t="n">
        <f aca="false">IFERROR(IF(AND($A208&lt;&gt;"",$E208&lt;&gt;"",$A208&gt;=PeriodStart,$A208&lt;=PeriodEnd),$E208+ROW()/1000000,0),0)</f>
        <v>0</v>
      </c>
    </row>
    <row r="209" customFormat="false" ht="15" hidden="false" customHeight="false" outlineLevel="0" collapsed="false">
      <c r="A209" s="75"/>
      <c r="B209" s="76"/>
      <c r="C209" s="77"/>
      <c r="D209" s="77"/>
      <c r="E209" s="78"/>
      <c r="F209" s="77"/>
      <c r="G209" s="77"/>
      <c r="H209" s="79" t="n">
        <f aca="false">N(H208)+IFERROR(IF(AND($A209&lt;&gt;"",$E209&lt;&gt;"",$A209&gt;=IF(Search!$E$4="",0,Search!$E$4),$A209&lt;=IF(Search!$E$5="",99999,Search!$E$5),OR(Search!$E$6="",ISNUMBER(SEARCH(Search!$E$6,$C209))),OR(Search!$E$7="All",Search!$E$7="",$D209=Search!$E$7),OR(Search!$E$8="",Search!$E$9="",AND($B209&lt;&gt;"",MOD($B209,1)&gt;=Search!$E$8,MOD($B209,1)&lt;=Search!$E$9))),1,0),0)</f>
        <v>0</v>
      </c>
      <c r="I209" s="79" t="n">
        <f aca="false">IF(H209&gt;N(H208),$E209,0)</f>
        <v>0</v>
      </c>
      <c r="J209" s="79" t="n">
        <f aca="false">IFERROR(IF(AND($A209&lt;&gt;"",$E209&lt;&gt;"",$A209&gt;=PeriodStart,$A209&lt;=PeriodEnd),$E209+ROW()/1000000,0),0)</f>
        <v>0</v>
      </c>
    </row>
    <row r="210" customFormat="false" ht="15" hidden="false" customHeight="false" outlineLevel="0" collapsed="false">
      <c r="A210" s="75"/>
      <c r="B210" s="76"/>
      <c r="C210" s="77"/>
      <c r="D210" s="77"/>
      <c r="E210" s="78"/>
      <c r="F210" s="77"/>
      <c r="G210" s="77"/>
      <c r="H210" s="79" t="n">
        <f aca="false">N(H209)+IFERROR(IF(AND($A210&lt;&gt;"",$E210&lt;&gt;"",$A210&gt;=IF(Search!$E$4="",0,Search!$E$4),$A210&lt;=IF(Search!$E$5="",99999,Search!$E$5),OR(Search!$E$6="",ISNUMBER(SEARCH(Search!$E$6,$C210))),OR(Search!$E$7="All",Search!$E$7="",$D210=Search!$E$7),OR(Search!$E$8="",Search!$E$9="",AND($B210&lt;&gt;"",MOD($B210,1)&gt;=Search!$E$8,MOD($B210,1)&lt;=Search!$E$9))),1,0),0)</f>
        <v>0</v>
      </c>
      <c r="I210" s="79" t="n">
        <f aca="false">IF(H210&gt;N(H209),$E210,0)</f>
        <v>0</v>
      </c>
      <c r="J210" s="79" t="n">
        <f aca="false">IFERROR(IF(AND($A210&lt;&gt;"",$E210&lt;&gt;"",$A210&gt;=PeriodStart,$A210&lt;=PeriodEnd),$E210+ROW()/1000000,0),0)</f>
        <v>0</v>
      </c>
    </row>
    <row r="211" customFormat="false" ht="15" hidden="false" customHeight="false" outlineLevel="0" collapsed="false">
      <c r="A211" s="75"/>
      <c r="B211" s="76"/>
      <c r="C211" s="77"/>
      <c r="D211" s="77"/>
      <c r="E211" s="78"/>
      <c r="F211" s="77"/>
      <c r="G211" s="77"/>
      <c r="H211" s="79" t="n">
        <f aca="false">N(H210)+IFERROR(IF(AND($A211&lt;&gt;"",$E211&lt;&gt;"",$A211&gt;=IF(Search!$E$4="",0,Search!$E$4),$A211&lt;=IF(Search!$E$5="",99999,Search!$E$5),OR(Search!$E$6="",ISNUMBER(SEARCH(Search!$E$6,$C211))),OR(Search!$E$7="All",Search!$E$7="",$D211=Search!$E$7),OR(Search!$E$8="",Search!$E$9="",AND($B211&lt;&gt;"",MOD($B211,1)&gt;=Search!$E$8,MOD($B211,1)&lt;=Search!$E$9))),1,0),0)</f>
        <v>0</v>
      </c>
      <c r="I211" s="79" t="n">
        <f aca="false">IF(H211&gt;N(H210),$E211,0)</f>
        <v>0</v>
      </c>
      <c r="J211" s="79" t="n">
        <f aca="false">IFERROR(IF(AND($A211&lt;&gt;"",$E211&lt;&gt;"",$A211&gt;=PeriodStart,$A211&lt;=PeriodEnd),$E211+ROW()/1000000,0),0)</f>
        <v>0</v>
      </c>
    </row>
    <row r="212" customFormat="false" ht="15" hidden="false" customHeight="false" outlineLevel="0" collapsed="false">
      <c r="A212" s="75"/>
      <c r="B212" s="76"/>
      <c r="C212" s="77"/>
      <c r="D212" s="77"/>
      <c r="E212" s="78"/>
      <c r="F212" s="77"/>
      <c r="G212" s="77"/>
      <c r="H212" s="79" t="n">
        <f aca="false">N(H211)+IFERROR(IF(AND($A212&lt;&gt;"",$E212&lt;&gt;"",$A212&gt;=IF(Search!$E$4="",0,Search!$E$4),$A212&lt;=IF(Search!$E$5="",99999,Search!$E$5),OR(Search!$E$6="",ISNUMBER(SEARCH(Search!$E$6,$C212))),OR(Search!$E$7="All",Search!$E$7="",$D212=Search!$E$7),OR(Search!$E$8="",Search!$E$9="",AND($B212&lt;&gt;"",MOD($B212,1)&gt;=Search!$E$8,MOD($B212,1)&lt;=Search!$E$9))),1,0),0)</f>
        <v>0</v>
      </c>
      <c r="I212" s="79" t="n">
        <f aca="false">IF(H212&gt;N(H211),$E212,0)</f>
        <v>0</v>
      </c>
      <c r="J212" s="79" t="n">
        <f aca="false">IFERROR(IF(AND($A212&lt;&gt;"",$E212&lt;&gt;"",$A212&gt;=PeriodStart,$A212&lt;=PeriodEnd),$E212+ROW()/1000000,0),0)</f>
        <v>0</v>
      </c>
    </row>
    <row r="213" customFormat="false" ht="15" hidden="false" customHeight="false" outlineLevel="0" collapsed="false">
      <c r="A213" s="75"/>
      <c r="B213" s="76"/>
      <c r="C213" s="77"/>
      <c r="D213" s="77"/>
      <c r="E213" s="78"/>
      <c r="F213" s="77"/>
      <c r="G213" s="77"/>
      <c r="H213" s="79" t="n">
        <f aca="false">N(H212)+IFERROR(IF(AND($A213&lt;&gt;"",$E213&lt;&gt;"",$A213&gt;=IF(Search!$E$4="",0,Search!$E$4),$A213&lt;=IF(Search!$E$5="",99999,Search!$E$5),OR(Search!$E$6="",ISNUMBER(SEARCH(Search!$E$6,$C213))),OR(Search!$E$7="All",Search!$E$7="",$D213=Search!$E$7),OR(Search!$E$8="",Search!$E$9="",AND($B213&lt;&gt;"",MOD($B213,1)&gt;=Search!$E$8,MOD($B213,1)&lt;=Search!$E$9))),1,0),0)</f>
        <v>0</v>
      </c>
      <c r="I213" s="79" t="n">
        <f aca="false">IF(H213&gt;N(H212),$E213,0)</f>
        <v>0</v>
      </c>
      <c r="J213" s="79" t="n">
        <f aca="false">IFERROR(IF(AND($A213&lt;&gt;"",$E213&lt;&gt;"",$A213&gt;=PeriodStart,$A213&lt;=PeriodEnd),$E213+ROW()/1000000,0),0)</f>
        <v>0</v>
      </c>
    </row>
    <row r="214" customFormat="false" ht="15" hidden="false" customHeight="false" outlineLevel="0" collapsed="false">
      <c r="A214" s="75"/>
      <c r="B214" s="76"/>
      <c r="C214" s="77"/>
      <c r="D214" s="77"/>
      <c r="E214" s="78"/>
      <c r="F214" s="77"/>
      <c r="G214" s="77"/>
      <c r="H214" s="79" t="n">
        <f aca="false">N(H213)+IFERROR(IF(AND($A214&lt;&gt;"",$E214&lt;&gt;"",$A214&gt;=IF(Search!$E$4="",0,Search!$E$4),$A214&lt;=IF(Search!$E$5="",99999,Search!$E$5),OR(Search!$E$6="",ISNUMBER(SEARCH(Search!$E$6,$C214))),OR(Search!$E$7="All",Search!$E$7="",$D214=Search!$E$7),OR(Search!$E$8="",Search!$E$9="",AND($B214&lt;&gt;"",MOD($B214,1)&gt;=Search!$E$8,MOD($B214,1)&lt;=Search!$E$9))),1,0),0)</f>
        <v>0</v>
      </c>
      <c r="I214" s="79" t="n">
        <f aca="false">IF(H214&gt;N(H213),$E214,0)</f>
        <v>0</v>
      </c>
      <c r="J214" s="79" t="n">
        <f aca="false">IFERROR(IF(AND($A214&lt;&gt;"",$E214&lt;&gt;"",$A214&gt;=PeriodStart,$A214&lt;=PeriodEnd),$E214+ROW()/1000000,0),0)</f>
        <v>0</v>
      </c>
    </row>
    <row r="215" customFormat="false" ht="15" hidden="false" customHeight="false" outlineLevel="0" collapsed="false">
      <c r="A215" s="75"/>
      <c r="B215" s="76"/>
      <c r="C215" s="77"/>
      <c r="D215" s="77"/>
      <c r="E215" s="78"/>
      <c r="F215" s="77"/>
      <c r="G215" s="77"/>
      <c r="H215" s="79" t="n">
        <f aca="false">N(H214)+IFERROR(IF(AND($A215&lt;&gt;"",$E215&lt;&gt;"",$A215&gt;=IF(Search!$E$4="",0,Search!$E$4),$A215&lt;=IF(Search!$E$5="",99999,Search!$E$5),OR(Search!$E$6="",ISNUMBER(SEARCH(Search!$E$6,$C215))),OR(Search!$E$7="All",Search!$E$7="",$D215=Search!$E$7),OR(Search!$E$8="",Search!$E$9="",AND($B215&lt;&gt;"",MOD($B215,1)&gt;=Search!$E$8,MOD($B215,1)&lt;=Search!$E$9))),1,0),0)</f>
        <v>0</v>
      </c>
      <c r="I215" s="79" t="n">
        <f aca="false">IF(H215&gt;N(H214),$E215,0)</f>
        <v>0</v>
      </c>
      <c r="J215" s="79" t="n">
        <f aca="false">IFERROR(IF(AND($A215&lt;&gt;"",$E215&lt;&gt;"",$A215&gt;=PeriodStart,$A215&lt;=PeriodEnd),$E215+ROW()/1000000,0),0)</f>
        <v>0</v>
      </c>
    </row>
    <row r="216" customFormat="false" ht="15" hidden="false" customHeight="false" outlineLevel="0" collapsed="false">
      <c r="A216" s="75"/>
      <c r="B216" s="76"/>
      <c r="C216" s="77"/>
      <c r="D216" s="77"/>
      <c r="E216" s="78"/>
      <c r="F216" s="77"/>
      <c r="G216" s="77"/>
      <c r="H216" s="79" t="n">
        <f aca="false">N(H215)+IFERROR(IF(AND($A216&lt;&gt;"",$E216&lt;&gt;"",$A216&gt;=IF(Search!$E$4="",0,Search!$E$4),$A216&lt;=IF(Search!$E$5="",99999,Search!$E$5),OR(Search!$E$6="",ISNUMBER(SEARCH(Search!$E$6,$C216))),OR(Search!$E$7="All",Search!$E$7="",$D216=Search!$E$7),OR(Search!$E$8="",Search!$E$9="",AND($B216&lt;&gt;"",MOD($B216,1)&gt;=Search!$E$8,MOD($B216,1)&lt;=Search!$E$9))),1,0),0)</f>
        <v>0</v>
      </c>
      <c r="I216" s="79" t="n">
        <f aca="false">IF(H216&gt;N(H215),$E216,0)</f>
        <v>0</v>
      </c>
      <c r="J216" s="79" t="n">
        <f aca="false">IFERROR(IF(AND($A216&lt;&gt;"",$E216&lt;&gt;"",$A216&gt;=PeriodStart,$A216&lt;=PeriodEnd),$E216+ROW()/1000000,0),0)</f>
        <v>0</v>
      </c>
    </row>
    <row r="217" customFormat="false" ht="15" hidden="false" customHeight="false" outlineLevel="0" collapsed="false">
      <c r="A217" s="75"/>
      <c r="B217" s="76"/>
      <c r="C217" s="77"/>
      <c r="D217" s="77"/>
      <c r="E217" s="78"/>
      <c r="F217" s="77"/>
      <c r="G217" s="77"/>
      <c r="H217" s="79" t="n">
        <f aca="false">N(H216)+IFERROR(IF(AND($A217&lt;&gt;"",$E217&lt;&gt;"",$A217&gt;=IF(Search!$E$4="",0,Search!$E$4),$A217&lt;=IF(Search!$E$5="",99999,Search!$E$5),OR(Search!$E$6="",ISNUMBER(SEARCH(Search!$E$6,$C217))),OR(Search!$E$7="All",Search!$E$7="",$D217=Search!$E$7),OR(Search!$E$8="",Search!$E$9="",AND($B217&lt;&gt;"",MOD($B217,1)&gt;=Search!$E$8,MOD($B217,1)&lt;=Search!$E$9))),1,0),0)</f>
        <v>0</v>
      </c>
      <c r="I217" s="79" t="n">
        <f aca="false">IF(H217&gt;N(H216),$E217,0)</f>
        <v>0</v>
      </c>
      <c r="J217" s="79" t="n">
        <f aca="false">IFERROR(IF(AND($A217&lt;&gt;"",$E217&lt;&gt;"",$A217&gt;=PeriodStart,$A217&lt;=PeriodEnd),$E217+ROW()/1000000,0),0)</f>
        <v>0</v>
      </c>
    </row>
    <row r="218" customFormat="false" ht="15" hidden="false" customHeight="false" outlineLevel="0" collapsed="false">
      <c r="A218" s="75"/>
      <c r="B218" s="76"/>
      <c r="C218" s="77"/>
      <c r="D218" s="77"/>
      <c r="E218" s="78"/>
      <c r="F218" s="77"/>
      <c r="G218" s="77"/>
      <c r="H218" s="79" t="n">
        <f aca="false">N(H217)+IFERROR(IF(AND($A218&lt;&gt;"",$E218&lt;&gt;"",$A218&gt;=IF(Search!$E$4="",0,Search!$E$4),$A218&lt;=IF(Search!$E$5="",99999,Search!$E$5),OR(Search!$E$6="",ISNUMBER(SEARCH(Search!$E$6,$C218))),OR(Search!$E$7="All",Search!$E$7="",$D218=Search!$E$7),OR(Search!$E$8="",Search!$E$9="",AND($B218&lt;&gt;"",MOD($B218,1)&gt;=Search!$E$8,MOD($B218,1)&lt;=Search!$E$9))),1,0),0)</f>
        <v>0</v>
      </c>
      <c r="I218" s="79" t="n">
        <f aca="false">IF(H218&gt;N(H217),$E218,0)</f>
        <v>0</v>
      </c>
      <c r="J218" s="79" t="n">
        <f aca="false">IFERROR(IF(AND($A218&lt;&gt;"",$E218&lt;&gt;"",$A218&gt;=PeriodStart,$A218&lt;=PeriodEnd),$E218+ROW()/1000000,0),0)</f>
        <v>0</v>
      </c>
    </row>
    <row r="219" customFormat="false" ht="15" hidden="false" customHeight="false" outlineLevel="0" collapsed="false">
      <c r="A219" s="75"/>
      <c r="B219" s="76"/>
      <c r="C219" s="77"/>
      <c r="D219" s="77"/>
      <c r="E219" s="78"/>
      <c r="F219" s="77"/>
      <c r="G219" s="77"/>
      <c r="H219" s="79" t="n">
        <f aca="false">N(H218)+IFERROR(IF(AND($A219&lt;&gt;"",$E219&lt;&gt;"",$A219&gt;=IF(Search!$E$4="",0,Search!$E$4),$A219&lt;=IF(Search!$E$5="",99999,Search!$E$5),OR(Search!$E$6="",ISNUMBER(SEARCH(Search!$E$6,$C219))),OR(Search!$E$7="All",Search!$E$7="",$D219=Search!$E$7),OR(Search!$E$8="",Search!$E$9="",AND($B219&lt;&gt;"",MOD($B219,1)&gt;=Search!$E$8,MOD($B219,1)&lt;=Search!$E$9))),1,0),0)</f>
        <v>0</v>
      </c>
      <c r="I219" s="79" t="n">
        <f aca="false">IF(H219&gt;N(H218),$E219,0)</f>
        <v>0</v>
      </c>
      <c r="J219" s="79" t="n">
        <f aca="false">IFERROR(IF(AND($A219&lt;&gt;"",$E219&lt;&gt;"",$A219&gt;=PeriodStart,$A219&lt;=PeriodEnd),$E219+ROW()/1000000,0),0)</f>
        <v>0</v>
      </c>
    </row>
    <row r="220" customFormat="false" ht="15" hidden="false" customHeight="false" outlineLevel="0" collapsed="false">
      <c r="A220" s="75"/>
      <c r="B220" s="76"/>
      <c r="C220" s="77"/>
      <c r="D220" s="77"/>
      <c r="E220" s="78"/>
      <c r="F220" s="77"/>
      <c r="G220" s="77"/>
      <c r="H220" s="79" t="n">
        <f aca="false">N(H219)+IFERROR(IF(AND($A220&lt;&gt;"",$E220&lt;&gt;"",$A220&gt;=IF(Search!$E$4="",0,Search!$E$4),$A220&lt;=IF(Search!$E$5="",99999,Search!$E$5),OR(Search!$E$6="",ISNUMBER(SEARCH(Search!$E$6,$C220))),OR(Search!$E$7="All",Search!$E$7="",$D220=Search!$E$7),OR(Search!$E$8="",Search!$E$9="",AND($B220&lt;&gt;"",MOD($B220,1)&gt;=Search!$E$8,MOD($B220,1)&lt;=Search!$E$9))),1,0),0)</f>
        <v>0</v>
      </c>
      <c r="I220" s="79" t="n">
        <f aca="false">IF(H220&gt;N(H219),$E220,0)</f>
        <v>0</v>
      </c>
      <c r="J220" s="79" t="n">
        <f aca="false">IFERROR(IF(AND($A220&lt;&gt;"",$E220&lt;&gt;"",$A220&gt;=PeriodStart,$A220&lt;=PeriodEnd),$E220+ROW()/1000000,0),0)</f>
        <v>0</v>
      </c>
    </row>
    <row r="221" customFormat="false" ht="15" hidden="false" customHeight="false" outlineLevel="0" collapsed="false">
      <c r="A221" s="75"/>
      <c r="B221" s="76"/>
      <c r="C221" s="77"/>
      <c r="D221" s="77"/>
      <c r="E221" s="78"/>
      <c r="F221" s="77"/>
      <c r="G221" s="77"/>
      <c r="H221" s="79" t="n">
        <f aca="false">N(H220)+IFERROR(IF(AND($A221&lt;&gt;"",$E221&lt;&gt;"",$A221&gt;=IF(Search!$E$4="",0,Search!$E$4),$A221&lt;=IF(Search!$E$5="",99999,Search!$E$5),OR(Search!$E$6="",ISNUMBER(SEARCH(Search!$E$6,$C221))),OR(Search!$E$7="All",Search!$E$7="",$D221=Search!$E$7),OR(Search!$E$8="",Search!$E$9="",AND($B221&lt;&gt;"",MOD($B221,1)&gt;=Search!$E$8,MOD($B221,1)&lt;=Search!$E$9))),1,0),0)</f>
        <v>0</v>
      </c>
      <c r="I221" s="79" t="n">
        <f aca="false">IF(H221&gt;N(H220),$E221,0)</f>
        <v>0</v>
      </c>
      <c r="J221" s="79" t="n">
        <f aca="false">IFERROR(IF(AND($A221&lt;&gt;"",$E221&lt;&gt;"",$A221&gt;=PeriodStart,$A221&lt;=PeriodEnd),$E221+ROW()/1000000,0),0)</f>
        <v>0</v>
      </c>
    </row>
    <row r="222" customFormat="false" ht="15" hidden="false" customHeight="false" outlineLevel="0" collapsed="false">
      <c r="A222" s="75"/>
      <c r="B222" s="76"/>
      <c r="C222" s="77"/>
      <c r="D222" s="77"/>
      <c r="E222" s="78"/>
      <c r="F222" s="77"/>
      <c r="G222" s="77"/>
      <c r="H222" s="79" t="n">
        <f aca="false">N(H221)+IFERROR(IF(AND($A222&lt;&gt;"",$E222&lt;&gt;"",$A222&gt;=IF(Search!$E$4="",0,Search!$E$4),$A222&lt;=IF(Search!$E$5="",99999,Search!$E$5),OR(Search!$E$6="",ISNUMBER(SEARCH(Search!$E$6,$C222))),OR(Search!$E$7="All",Search!$E$7="",$D222=Search!$E$7),OR(Search!$E$8="",Search!$E$9="",AND($B222&lt;&gt;"",MOD($B222,1)&gt;=Search!$E$8,MOD($B222,1)&lt;=Search!$E$9))),1,0),0)</f>
        <v>0</v>
      </c>
      <c r="I222" s="79" t="n">
        <f aca="false">IF(H222&gt;N(H221),$E222,0)</f>
        <v>0</v>
      </c>
      <c r="J222" s="79" t="n">
        <f aca="false">IFERROR(IF(AND($A222&lt;&gt;"",$E222&lt;&gt;"",$A222&gt;=PeriodStart,$A222&lt;=PeriodEnd),$E222+ROW()/1000000,0),0)</f>
        <v>0</v>
      </c>
    </row>
    <row r="223" customFormat="false" ht="15" hidden="false" customHeight="false" outlineLevel="0" collapsed="false">
      <c r="A223" s="75"/>
      <c r="B223" s="76"/>
      <c r="C223" s="77"/>
      <c r="D223" s="77"/>
      <c r="E223" s="78"/>
      <c r="F223" s="77"/>
      <c r="G223" s="77"/>
      <c r="H223" s="79" t="n">
        <f aca="false">N(H222)+IFERROR(IF(AND($A223&lt;&gt;"",$E223&lt;&gt;"",$A223&gt;=IF(Search!$E$4="",0,Search!$E$4),$A223&lt;=IF(Search!$E$5="",99999,Search!$E$5),OR(Search!$E$6="",ISNUMBER(SEARCH(Search!$E$6,$C223))),OR(Search!$E$7="All",Search!$E$7="",$D223=Search!$E$7),OR(Search!$E$8="",Search!$E$9="",AND($B223&lt;&gt;"",MOD($B223,1)&gt;=Search!$E$8,MOD($B223,1)&lt;=Search!$E$9))),1,0),0)</f>
        <v>0</v>
      </c>
      <c r="I223" s="79" t="n">
        <f aca="false">IF(H223&gt;N(H222),$E223,0)</f>
        <v>0</v>
      </c>
      <c r="J223" s="79" t="n">
        <f aca="false">IFERROR(IF(AND($A223&lt;&gt;"",$E223&lt;&gt;"",$A223&gt;=PeriodStart,$A223&lt;=PeriodEnd),$E223+ROW()/1000000,0),0)</f>
        <v>0</v>
      </c>
    </row>
    <row r="224" customFormat="false" ht="15" hidden="false" customHeight="false" outlineLevel="0" collapsed="false">
      <c r="A224" s="75"/>
      <c r="B224" s="76"/>
      <c r="C224" s="77"/>
      <c r="D224" s="77"/>
      <c r="E224" s="78"/>
      <c r="F224" s="77"/>
      <c r="G224" s="77"/>
      <c r="H224" s="79" t="n">
        <f aca="false">N(H223)+IFERROR(IF(AND($A224&lt;&gt;"",$E224&lt;&gt;"",$A224&gt;=IF(Search!$E$4="",0,Search!$E$4),$A224&lt;=IF(Search!$E$5="",99999,Search!$E$5),OR(Search!$E$6="",ISNUMBER(SEARCH(Search!$E$6,$C224))),OR(Search!$E$7="All",Search!$E$7="",$D224=Search!$E$7),OR(Search!$E$8="",Search!$E$9="",AND($B224&lt;&gt;"",MOD($B224,1)&gt;=Search!$E$8,MOD($B224,1)&lt;=Search!$E$9))),1,0),0)</f>
        <v>0</v>
      </c>
      <c r="I224" s="79" t="n">
        <f aca="false">IF(H224&gt;N(H223),$E224,0)</f>
        <v>0</v>
      </c>
      <c r="J224" s="79" t="n">
        <f aca="false">IFERROR(IF(AND($A224&lt;&gt;"",$E224&lt;&gt;"",$A224&gt;=PeriodStart,$A224&lt;=PeriodEnd),$E224+ROW()/1000000,0),0)</f>
        <v>0</v>
      </c>
    </row>
    <row r="225" customFormat="false" ht="15" hidden="false" customHeight="false" outlineLevel="0" collapsed="false">
      <c r="A225" s="75"/>
      <c r="B225" s="76"/>
      <c r="C225" s="77"/>
      <c r="D225" s="77"/>
      <c r="E225" s="78"/>
      <c r="F225" s="77"/>
      <c r="G225" s="77"/>
      <c r="H225" s="79" t="n">
        <f aca="false">N(H224)+IFERROR(IF(AND($A225&lt;&gt;"",$E225&lt;&gt;"",$A225&gt;=IF(Search!$E$4="",0,Search!$E$4),$A225&lt;=IF(Search!$E$5="",99999,Search!$E$5),OR(Search!$E$6="",ISNUMBER(SEARCH(Search!$E$6,$C225))),OR(Search!$E$7="All",Search!$E$7="",$D225=Search!$E$7),OR(Search!$E$8="",Search!$E$9="",AND($B225&lt;&gt;"",MOD($B225,1)&gt;=Search!$E$8,MOD($B225,1)&lt;=Search!$E$9))),1,0),0)</f>
        <v>0</v>
      </c>
      <c r="I225" s="79" t="n">
        <f aca="false">IF(H225&gt;N(H224),$E225,0)</f>
        <v>0</v>
      </c>
      <c r="J225" s="79" t="n">
        <f aca="false">IFERROR(IF(AND($A225&lt;&gt;"",$E225&lt;&gt;"",$A225&gt;=PeriodStart,$A225&lt;=PeriodEnd),$E225+ROW()/1000000,0),0)</f>
        <v>0</v>
      </c>
    </row>
    <row r="226" customFormat="false" ht="15" hidden="false" customHeight="false" outlineLevel="0" collapsed="false">
      <c r="A226" s="75"/>
      <c r="B226" s="76"/>
      <c r="C226" s="77"/>
      <c r="D226" s="77"/>
      <c r="E226" s="78"/>
      <c r="F226" s="77"/>
      <c r="G226" s="77"/>
      <c r="H226" s="79" t="n">
        <f aca="false">N(H225)+IFERROR(IF(AND($A226&lt;&gt;"",$E226&lt;&gt;"",$A226&gt;=IF(Search!$E$4="",0,Search!$E$4),$A226&lt;=IF(Search!$E$5="",99999,Search!$E$5),OR(Search!$E$6="",ISNUMBER(SEARCH(Search!$E$6,$C226))),OR(Search!$E$7="All",Search!$E$7="",$D226=Search!$E$7),OR(Search!$E$8="",Search!$E$9="",AND($B226&lt;&gt;"",MOD($B226,1)&gt;=Search!$E$8,MOD($B226,1)&lt;=Search!$E$9))),1,0),0)</f>
        <v>0</v>
      </c>
      <c r="I226" s="79" t="n">
        <f aca="false">IF(H226&gt;N(H225),$E226,0)</f>
        <v>0</v>
      </c>
      <c r="J226" s="79" t="n">
        <f aca="false">IFERROR(IF(AND($A226&lt;&gt;"",$E226&lt;&gt;"",$A226&gt;=PeriodStart,$A226&lt;=PeriodEnd),$E226+ROW()/1000000,0),0)</f>
        <v>0</v>
      </c>
    </row>
    <row r="227" customFormat="false" ht="15" hidden="false" customHeight="false" outlineLevel="0" collapsed="false">
      <c r="A227" s="75"/>
      <c r="B227" s="76"/>
      <c r="C227" s="77"/>
      <c r="D227" s="77"/>
      <c r="E227" s="78"/>
      <c r="F227" s="77"/>
      <c r="G227" s="77"/>
      <c r="H227" s="79" t="n">
        <f aca="false">N(H226)+IFERROR(IF(AND($A227&lt;&gt;"",$E227&lt;&gt;"",$A227&gt;=IF(Search!$E$4="",0,Search!$E$4),$A227&lt;=IF(Search!$E$5="",99999,Search!$E$5),OR(Search!$E$6="",ISNUMBER(SEARCH(Search!$E$6,$C227))),OR(Search!$E$7="All",Search!$E$7="",$D227=Search!$E$7),OR(Search!$E$8="",Search!$E$9="",AND($B227&lt;&gt;"",MOD($B227,1)&gt;=Search!$E$8,MOD($B227,1)&lt;=Search!$E$9))),1,0),0)</f>
        <v>0</v>
      </c>
      <c r="I227" s="79" t="n">
        <f aca="false">IF(H227&gt;N(H226),$E227,0)</f>
        <v>0</v>
      </c>
      <c r="J227" s="79" t="n">
        <f aca="false">IFERROR(IF(AND($A227&lt;&gt;"",$E227&lt;&gt;"",$A227&gt;=PeriodStart,$A227&lt;=PeriodEnd),$E227+ROW()/1000000,0),0)</f>
        <v>0</v>
      </c>
    </row>
    <row r="228" customFormat="false" ht="15" hidden="false" customHeight="false" outlineLevel="0" collapsed="false">
      <c r="A228" s="75"/>
      <c r="B228" s="76"/>
      <c r="C228" s="77"/>
      <c r="D228" s="77"/>
      <c r="E228" s="78"/>
      <c r="F228" s="77"/>
      <c r="G228" s="77"/>
      <c r="H228" s="79" t="n">
        <f aca="false">N(H227)+IFERROR(IF(AND($A228&lt;&gt;"",$E228&lt;&gt;"",$A228&gt;=IF(Search!$E$4="",0,Search!$E$4),$A228&lt;=IF(Search!$E$5="",99999,Search!$E$5),OR(Search!$E$6="",ISNUMBER(SEARCH(Search!$E$6,$C228))),OR(Search!$E$7="All",Search!$E$7="",$D228=Search!$E$7),OR(Search!$E$8="",Search!$E$9="",AND($B228&lt;&gt;"",MOD($B228,1)&gt;=Search!$E$8,MOD($B228,1)&lt;=Search!$E$9))),1,0),0)</f>
        <v>0</v>
      </c>
      <c r="I228" s="79" t="n">
        <f aca="false">IF(H228&gt;N(H227),$E228,0)</f>
        <v>0</v>
      </c>
      <c r="J228" s="79" t="n">
        <f aca="false">IFERROR(IF(AND($A228&lt;&gt;"",$E228&lt;&gt;"",$A228&gt;=PeriodStart,$A228&lt;=PeriodEnd),$E228+ROW()/1000000,0),0)</f>
        <v>0</v>
      </c>
    </row>
    <row r="229" customFormat="false" ht="15" hidden="false" customHeight="false" outlineLevel="0" collapsed="false">
      <c r="A229" s="75"/>
      <c r="B229" s="76"/>
      <c r="C229" s="77"/>
      <c r="D229" s="77"/>
      <c r="E229" s="78"/>
      <c r="F229" s="77"/>
      <c r="G229" s="77"/>
      <c r="H229" s="79" t="n">
        <f aca="false">N(H228)+IFERROR(IF(AND($A229&lt;&gt;"",$E229&lt;&gt;"",$A229&gt;=IF(Search!$E$4="",0,Search!$E$4),$A229&lt;=IF(Search!$E$5="",99999,Search!$E$5),OR(Search!$E$6="",ISNUMBER(SEARCH(Search!$E$6,$C229))),OR(Search!$E$7="All",Search!$E$7="",$D229=Search!$E$7),OR(Search!$E$8="",Search!$E$9="",AND($B229&lt;&gt;"",MOD($B229,1)&gt;=Search!$E$8,MOD($B229,1)&lt;=Search!$E$9))),1,0),0)</f>
        <v>0</v>
      </c>
      <c r="I229" s="79" t="n">
        <f aca="false">IF(H229&gt;N(H228),$E229,0)</f>
        <v>0</v>
      </c>
      <c r="J229" s="79" t="n">
        <f aca="false">IFERROR(IF(AND($A229&lt;&gt;"",$E229&lt;&gt;"",$A229&gt;=PeriodStart,$A229&lt;=PeriodEnd),$E229+ROW()/1000000,0),0)</f>
        <v>0</v>
      </c>
    </row>
    <row r="230" customFormat="false" ht="15" hidden="false" customHeight="false" outlineLevel="0" collapsed="false">
      <c r="A230" s="75"/>
      <c r="B230" s="76"/>
      <c r="C230" s="77"/>
      <c r="D230" s="77"/>
      <c r="E230" s="78"/>
      <c r="F230" s="77"/>
      <c r="G230" s="77"/>
      <c r="H230" s="79" t="n">
        <f aca="false">N(H229)+IFERROR(IF(AND($A230&lt;&gt;"",$E230&lt;&gt;"",$A230&gt;=IF(Search!$E$4="",0,Search!$E$4),$A230&lt;=IF(Search!$E$5="",99999,Search!$E$5),OR(Search!$E$6="",ISNUMBER(SEARCH(Search!$E$6,$C230))),OR(Search!$E$7="All",Search!$E$7="",$D230=Search!$E$7),OR(Search!$E$8="",Search!$E$9="",AND($B230&lt;&gt;"",MOD($B230,1)&gt;=Search!$E$8,MOD($B230,1)&lt;=Search!$E$9))),1,0),0)</f>
        <v>0</v>
      </c>
      <c r="I230" s="79" t="n">
        <f aca="false">IF(H230&gt;N(H229),$E230,0)</f>
        <v>0</v>
      </c>
      <c r="J230" s="79" t="n">
        <f aca="false">IFERROR(IF(AND($A230&lt;&gt;"",$E230&lt;&gt;"",$A230&gt;=PeriodStart,$A230&lt;=PeriodEnd),$E230+ROW()/1000000,0),0)</f>
        <v>0</v>
      </c>
    </row>
    <row r="231" customFormat="false" ht="15" hidden="false" customHeight="false" outlineLevel="0" collapsed="false">
      <c r="A231" s="75"/>
      <c r="B231" s="76"/>
      <c r="C231" s="77"/>
      <c r="D231" s="77"/>
      <c r="E231" s="78"/>
      <c r="F231" s="77"/>
      <c r="G231" s="77"/>
      <c r="H231" s="79" t="n">
        <f aca="false">N(H230)+IFERROR(IF(AND($A231&lt;&gt;"",$E231&lt;&gt;"",$A231&gt;=IF(Search!$E$4="",0,Search!$E$4),$A231&lt;=IF(Search!$E$5="",99999,Search!$E$5),OR(Search!$E$6="",ISNUMBER(SEARCH(Search!$E$6,$C231))),OR(Search!$E$7="All",Search!$E$7="",$D231=Search!$E$7),OR(Search!$E$8="",Search!$E$9="",AND($B231&lt;&gt;"",MOD($B231,1)&gt;=Search!$E$8,MOD($B231,1)&lt;=Search!$E$9))),1,0),0)</f>
        <v>0</v>
      </c>
      <c r="I231" s="79" t="n">
        <f aca="false">IF(H231&gt;N(H230),$E231,0)</f>
        <v>0</v>
      </c>
      <c r="J231" s="79" t="n">
        <f aca="false">IFERROR(IF(AND($A231&lt;&gt;"",$E231&lt;&gt;"",$A231&gt;=PeriodStart,$A231&lt;=PeriodEnd),$E231+ROW()/1000000,0),0)</f>
        <v>0</v>
      </c>
    </row>
    <row r="232" customFormat="false" ht="15" hidden="false" customHeight="false" outlineLevel="0" collapsed="false">
      <c r="A232" s="75"/>
      <c r="B232" s="76"/>
      <c r="C232" s="77"/>
      <c r="D232" s="77"/>
      <c r="E232" s="78"/>
      <c r="F232" s="77"/>
      <c r="G232" s="77"/>
      <c r="H232" s="79" t="n">
        <f aca="false">N(H231)+IFERROR(IF(AND($A232&lt;&gt;"",$E232&lt;&gt;"",$A232&gt;=IF(Search!$E$4="",0,Search!$E$4),$A232&lt;=IF(Search!$E$5="",99999,Search!$E$5),OR(Search!$E$6="",ISNUMBER(SEARCH(Search!$E$6,$C232))),OR(Search!$E$7="All",Search!$E$7="",$D232=Search!$E$7),OR(Search!$E$8="",Search!$E$9="",AND($B232&lt;&gt;"",MOD($B232,1)&gt;=Search!$E$8,MOD($B232,1)&lt;=Search!$E$9))),1,0),0)</f>
        <v>0</v>
      </c>
      <c r="I232" s="79" t="n">
        <f aca="false">IF(H232&gt;N(H231),$E232,0)</f>
        <v>0</v>
      </c>
      <c r="J232" s="79" t="n">
        <f aca="false">IFERROR(IF(AND($A232&lt;&gt;"",$E232&lt;&gt;"",$A232&gt;=PeriodStart,$A232&lt;=PeriodEnd),$E232+ROW()/1000000,0),0)</f>
        <v>0</v>
      </c>
    </row>
    <row r="233" customFormat="false" ht="15" hidden="false" customHeight="false" outlineLevel="0" collapsed="false">
      <c r="A233" s="75"/>
      <c r="B233" s="76"/>
      <c r="C233" s="77"/>
      <c r="D233" s="77"/>
      <c r="E233" s="78"/>
      <c r="F233" s="77"/>
      <c r="G233" s="77"/>
      <c r="H233" s="79" t="n">
        <f aca="false">N(H232)+IFERROR(IF(AND($A233&lt;&gt;"",$E233&lt;&gt;"",$A233&gt;=IF(Search!$E$4="",0,Search!$E$4),$A233&lt;=IF(Search!$E$5="",99999,Search!$E$5),OR(Search!$E$6="",ISNUMBER(SEARCH(Search!$E$6,$C233))),OR(Search!$E$7="All",Search!$E$7="",$D233=Search!$E$7),OR(Search!$E$8="",Search!$E$9="",AND($B233&lt;&gt;"",MOD($B233,1)&gt;=Search!$E$8,MOD($B233,1)&lt;=Search!$E$9))),1,0),0)</f>
        <v>0</v>
      </c>
      <c r="I233" s="79" t="n">
        <f aca="false">IF(H233&gt;N(H232),$E233,0)</f>
        <v>0</v>
      </c>
      <c r="J233" s="79" t="n">
        <f aca="false">IFERROR(IF(AND($A233&lt;&gt;"",$E233&lt;&gt;"",$A233&gt;=PeriodStart,$A233&lt;=PeriodEnd),$E233+ROW()/1000000,0),0)</f>
        <v>0</v>
      </c>
    </row>
    <row r="234" customFormat="false" ht="15" hidden="false" customHeight="false" outlineLevel="0" collapsed="false">
      <c r="A234" s="75"/>
      <c r="B234" s="76"/>
      <c r="C234" s="77"/>
      <c r="D234" s="77"/>
      <c r="E234" s="78"/>
      <c r="F234" s="77"/>
      <c r="G234" s="77"/>
      <c r="H234" s="79" t="n">
        <f aca="false">N(H233)+IFERROR(IF(AND($A234&lt;&gt;"",$E234&lt;&gt;"",$A234&gt;=IF(Search!$E$4="",0,Search!$E$4),$A234&lt;=IF(Search!$E$5="",99999,Search!$E$5),OR(Search!$E$6="",ISNUMBER(SEARCH(Search!$E$6,$C234))),OR(Search!$E$7="All",Search!$E$7="",$D234=Search!$E$7),OR(Search!$E$8="",Search!$E$9="",AND($B234&lt;&gt;"",MOD($B234,1)&gt;=Search!$E$8,MOD($B234,1)&lt;=Search!$E$9))),1,0),0)</f>
        <v>0</v>
      </c>
      <c r="I234" s="79" t="n">
        <f aca="false">IF(H234&gt;N(H233),$E234,0)</f>
        <v>0</v>
      </c>
      <c r="J234" s="79" t="n">
        <f aca="false">IFERROR(IF(AND($A234&lt;&gt;"",$E234&lt;&gt;"",$A234&gt;=PeriodStart,$A234&lt;=PeriodEnd),$E234+ROW()/1000000,0),0)</f>
        <v>0</v>
      </c>
    </row>
    <row r="235" customFormat="false" ht="15" hidden="false" customHeight="false" outlineLevel="0" collapsed="false">
      <c r="A235" s="75"/>
      <c r="B235" s="76"/>
      <c r="C235" s="77"/>
      <c r="D235" s="77"/>
      <c r="E235" s="78"/>
      <c r="F235" s="77"/>
      <c r="G235" s="77"/>
      <c r="H235" s="79" t="n">
        <f aca="false">N(H234)+IFERROR(IF(AND($A235&lt;&gt;"",$E235&lt;&gt;"",$A235&gt;=IF(Search!$E$4="",0,Search!$E$4),$A235&lt;=IF(Search!$E$5="",99999,Search!$E$5),OR(Search!$E$6="",ISNUMBER(SEARCH(Search!$E$6,$C235))),OR(Search!$E$7="All",Search!$E$7="",$D235=Search!$E$7),OR(Search!$E$8="",Search!$E$9="",AND($B235&lt;&gt;"",MOD($B235,1)&gt;=Search!$E$8,MOD($B235,1)&lt;=Search!$E$9))),1,0),0)</f>
        <v>0</v>
      </c>
      <c r="I235" s="79" t="n">
        <f aca="false">IF(H235&gt;N(H234),$E235,0)</f>
        <v>0</v>
      </c>
      <c r="J235" s="79" t="n">
        <f aca="false">IFERROR(IF(AND($A235&lt;&gt;"",$E235&lt;&gt;"",$A235&gt;=PeriodStart,$A235&lt;=PeriodEnd),$E235+ROW()/1000000,0),0)</f>
        <v>0</v>
      </c>
    </row>
    <row r="236" customFormat="false" ht="15" hidden="false" customHeight="false" outlineLevel="0" collapsed="false">
      <c r="A236" s="75"/>
      <c r="B236" s="76"/>
      <c r="C236" s="77"/>
      <c r="D236" s="77"/>
      <c r="E236" s="78"/>
      <c r="F236" s="77"/>
      <c r="G236" s="77"/>
      <c r="H236" s="79" t="n">
        <f aca="false">N(H235)+IFERROR(IF(AND($A236&lt;&gt;"",$E236&lt;&gt;"",$A236&gt;=IF(Search!$E$4="",0,Search!$E$4),$A236&lt;=IF(Search!$E$5="",99999,Search!$E$5),OR(Search!$E$6="",ISNUMBER(SEARCH(Search!$E$6,$C236))),OR(Search!$E$7="All",Search!$E$7="",$D236=Search!$E$7),OR(Search!$E$8="",Search!$E$9="",AND($B236&lt;&gt;"",MOD($B236,1)&gt;=Search!$E$8,MOD($B236,1)&lt;=Search!$E$9))),1,0),0)</f>
        <v>0</v>
      </c>
      <c r="I236" s="79" t="n">
        <f aca="false">IF(H236&gt;N(H235),$E236,0)</f>
        <v>0</v>
      </c>
      <c r="J236" s="79" t="n">
        <f aca="false">IFERROR(IF(AND($A236&lt;&gt;"",$E236&lt;&gt;"",$A236&gt;=PeriodStart,$A236&lt;=PeriodEnd),$E236+ROW()/1000000,0),0)</f>
        <v>0</v>
      </c>
    </row>
    <row r="237" customFormat="false" ht="15" hidden="false" customHeight="false" outlineLevel="0" collapsed="false">
      <c r="A237" s="75"/>
      <c r="B237" s="76"/>
      <c r="C237" s="77"/>
      <c r="D237" s="77"/>
      <c r="E237" s="78"/>
      <c r="F237" s="77"/>
      <c r="G237" s="77"/>
      <c r="H237" s="79" t="n">
        <f aca="false">N(H236)+IFERROR(IF(AND($A237&lt;&gt;"",$E237&lt;&gt;"",$A237&gt;=IF(Search!$E$4="",0,Search!$E$4),$A237&lt;=IF(Search!$E$5="",99999,Search!$E$5),OR(Search!$E$6="",ISNUMBER(SEARCH(Search!$E$6,$C237))),OR(Search!$E$7="All",Search!$E$7="",$D237=Search!$E$7),OR(Search!$E$8="",Search!$E$9="",AND($B237&lt;&gt;"",MOD($B237,1)&gt;=Search!$E$8,MOD($B237,1)&lt;=Search!$E$9))),1,0),0)</f>
        <v>0</v>
      </c>
      <c r="I237" s="79" t="n">
        <f aca="false">IF(H237&gt;N(H236),$E237,0)</f>
        <v>0</v>
      </c>
      <c r="J237" s="79" t="n">
        <f aca="false">IFERROR(IF(AND($A237&lt;&gt;"",$E237&lt;&gt;"",$A237&gt;=PeriodStart,$A237&lt;=PeriodEnd),$E237+ROW()/1000000,0),0)</f>
        <v>0</v>
      </c>
    </row>
    <row r="238" customFormat="false" ht="15" hidden="false" customHeight="false" outlineLevel="0" collapsed="false">
      <c r="A238" s="75"/>
      <c r="B238" s="76"/>
      <c r="C238" s="77"/>
      <c r="D238" s="77"/>
      <c r="E238" s="78"/>
      <c r="F238" s="77"/>
      <c r="G238" s="77"/>
      <c r="H238" s="79" t="n">
        <f aca="false">N(H237)+IFERROR(IF(AND($A238&lt;&gt;"",$E238&lt;&gt;"",$A238&gt;=IF(Search!$E$4="",0,Search!$E$4),$A238&lt;=IF(Search!$E$5="",99999,Search!$E$5),OR(Search!$E$6="",ISNUMBER(SEARCH(Search!$E$6,$C238))),OR(Search!$E$7="All",Search!$E$7="",$D238=Search!$E$7),OR(Search!$E$8="",Search!$E$9="",AND($B238&lt;&gt;"",MOD($B238,1)&gt;=Search!$E$8,MOD($B238,1)&lt;=Search!$E$9))),1,0),0)</f>
        <v>0</v>
      </c>
      <c r="I238" s="79" t="n">
        <f aca="false">IF(H238&gt;N(H237),$E238,0)</f>
        <v>0</v>
      </c>
      <c r="J238" s="79" t="n">
        <f aca="false">IFERROR(IF(AND($A238&lt;&gt;"",$E238&lt;&gt;"",$A238&gt;=PeriodStart,$A238&lt;=PeriodEnd),$E238+ROW()/1000000,0),0)</f>
        <v>0</v>
      </c>
    </row>
    <row r="239" customFormat="false" ht="15" hidden="false" customHeight="false" outlineLevel="0" collapsed="false">
      <c r="A239" s="75"/>
      <c r="B239" s="76"/>
      <c r="C239" s="77"/>
      <c r="D239" s="77"/>
      <c r="E239" s="78"/>
      <c r="F239" s="77"/>
      <c r="G239" s="77"/>
      <c r="H239" s="79" t="n">
        <f aca="false">N(H238)+IFERROR(IF(AND($A239&lt;&gt;"",$E239&lt;&gt;"",$A239&gt;=IF(Search!$E$4="",0,Search!$E$4),$A239&lt;=IF(Search!$E$5="",99999,Search!$E$5),OR(Search!$E$6="",ISNUMBER(SEARCH(Search!$E$6,$C239))),OR(Search!$E$7="All",Search!$E$7="",$D239=Search!$E$7),OR(Search!$E$8="",Search!$E$9="",AND($B239&lt;&gt;"",MOD($B239,1)&gt;=Search!$E$8,MOD($B239,1)&lt;=Search!$E$9))),1,0),0)</f>
        <v>0</v>
      </c>
      <c r="I239" s="79" t="n">
        <f aca="false">IF(H239&gt;N(H238),$E239,0)</f>
        <v>0</v>
      </c>
      <c r="J239" s="79" t="n">
        <f aca="false">IFERROR(IF(AND($A239&lt;&gt;"",$E239&lt;&gt;"",$A239&gt;=PeriodStart,$A239&lt;=PeriodEnd),$E239+ROW()/1000000,0),0)</f>
        <v>0</v>
      </c>
    </row>
    <row r="240" customFormat="false" ht="15" hidden="false" customHeight="false" outlineLevel="0" collapsed="false">
      <c r="A240" s="75"/>
      <c r="B240" s="76"/>
      <c r="C240" s="77"/>
      <c r="D240" s="77"/>
      <c r="E240" s="78"/>
      <c r="F240" s="77"/>
      <c r="G240" s="77"/>
      <c r="H240" s="79" t="n">
        <f aca="false">N(H239)+IFERROR(IF(AND($A240&lt;&gt;"",$E240&lt;&gt;"",$A240&gt;=IF(Search!$E$4="",0,Search!$E$4),$A240&lt;=IF(Search!$E$5="",99999,Search!$E$5),OR(Search!$E$6="",ISNUMBER(SEARCH(Search!$E$6,$C240))),OR(Search!$E$7="All",Search!$E$7="",$D240=Search!$E$7),OR(Search!$E$8="",Search!$E$9="",AND($B240&lt;&gt;"",MOD($B240,1)&gt;=Search!$E$8,MOD($B240,1)&lt;=Search!$E$9))),1,0),0)</f>
        <v>0</v>
      </c>
      <c r="I240" s="79" t="n">
        <f aca="false">IF(H240&gt;N(H239),$E240,0)</f>
        <v>0</v>
      </c>
      <c r="J240" s="79" t="n">
        <f aca="false">IFERROR(IF(AND($A240&lt;&gt;"",$E240&lt;&gt;"",$A240&gt;=PeriodStart,$A240&lt;=PeriodEnd),$E240+ROW()/1000000,0),0)</f>
        <v>0</v>
      </c>
    </row>
    <row r="241" customFormat="false" ht="15" hidden="false" customHeight="false" outlineLevel="0" collapsed="false">
      <c r="A241" s="75"/>
      <c r="B241" s="76"/>
      <c r="C241" s="77"/>
      <c r="D241" s="77"/>
      <c r="E241" s="78"/>
      <c r="F241" s="77"/>
      <c r="G241" s="77"/>
      <c r="H241" s="79" t="n">
        <f aca="false">N(H240)+IFERROR(IF(AND($A241&lt;&gt;"",$E241&lt;&gt;"",$A241&gt;=IF(Search!$E$4="",0,Search!$E$4),$A241&lt;=IF(Search!$E$5="",99999,Search!$E$5),OR(Search!$E$6="",ISNUMBER(SEARCH(Search!$E$6,$C241))),OR(Search!$E$7="All",Search!$E$7="",$D241=Search!$E$7),OR(Search!$E$8="",Search!$E$9="",AND($B241&lt;&gt;"",MOD($B241,1)&gt;=Search!$E$8,MOD($B241,1)&lt;=Search!$E$9))),1,0),0)</f>
        <v>0</v>
      </c>
      <c r="I241" s="79" t="n">
        <f aca="false">IF(H241&gt;N(H240),$E241,0)</f>
        <v>0</v>
      </c>
      <c r="J241" s="79" t="n">
        <f aca="false">IFERROR(IF(AND($A241&lt;&gt;"",$E241&lt;&gt;"",$A241&gt;=PeriodStart,$A241&lt;=PeriodEnd),$E241+ROW()/1000000,0),0)</f>
        <v>0</v>
      </c>
    </row>
    <row r="242" customFormat="false" ht="15" hidden="false" customHeight="false" outlineLevel="0" collapsed="false">
      <c r="A242" s="75"/>
      <c r="B242" s="76"/>
      <c r="C242" s="77"/>
      <c r="D242" s="77"/>
      <c r="E242" s="78"/>
      <c r="F242" s="77"/>
      <c r="G242" s="77"/>
      <c r="H242" s="79" t="n">
        <f aca="false">N(H241)+IFERROR(IF(AND($A242&lt;&gt;"",$E242&lt;&gt;"",$A242&gt;=IF(Search!$E$4="",0,Search!$E$4),$A242&lt;=IF(Search!$E$5="",99999,Search!$E$5),OR(Search!$E$6="",ISNUMBER(SEARCH(Search!$E$6,$C242))),OR(Search!$E$7="All",Search!$E$7="",$D242=Search!$E$7),OR(Search!$E$8="",Search!$E$9="",AND($B242&lt;&gt;"",MOD($B242,1)&gt;=Search!$E$8,MOD($B242,1)&lt;=Search!$E$9))),1,0),0)</f>
        <v>0</v>
      </c>
      <c r="I242" s="79" t="n">
        <f aca="false">IF(H242&gt;N(H241),$E242,0)</f>
        <v>0</v>
      </c>
      <c r="J242" s="79" t="n">
        <f aca="false">IFERROR(IF(AND($A242&lt;&gt;"",$E242&lt;&gt;"",$A242&gt;=PeriodStart,$A242&lt;=PeriodEnd),$E242+ROW()/1000000,0),0)</f>
        <v>0</v>
      </c>
    </row>
    <row r="243" customFormat="false" ht="15" hidden="false" customHeight="false" outlineLevel="0" collapsed="false">
      <c r="A243" s="75"/>
      <c r="B243" s="76"/>
      <c r="C243" s="77"/>
      <c r="D243" s="77"/>
      <c r="E243" s="78"/>
      <c r="F243" s="77"/>
      <c r="G243" s="77"/>
      <c r="H243" s="79" t="n">
        <f aca="false">N(H242)+IFERROR(IF(AND($A243&lt;&gt;"",$E243&lt;&gt;"",$A243&gt;=IF(Search!$E$4="",0,Search!$E$4),$A243&lt;=IF(Search!$E$5="",99999,Search!$E$5),OR(Search!$E$6="",ISNUMBER(SEARCH(Search!$E$6,$C243))),OR(Search!$E$7="All",Search!$E$7="",$D243=Search!$E$7),OR(Search!$E$8="",Search!$E$9="",AND($B243&lt;&gt;"",MOD($B243,1)&gt;=Search!$E$8,MOD($B243,1)&lt;=Search!$E$9))),1,0),0)</f>
        <v>0</v>
      </c>
      <c r="I243" s="79" t="n">
        <f aca="false">IF(H243&gt;N(H242),$E243,0)</f>
        <v>0</v>
      </c>
      <c r="J243" s="79" t="n">
        <f aca="false">IFERROR(IF(AND($A243&lt;&gt;"",$E243&lt;&gt;"",$A243&gt;=PeriodStart,$A243&lt;=PeriodEnd),$E243+ROW()/1000000,0),0)</f>
        <v>0</v>
      </c>
    </row>
    <row r="244" customFormat="false" ht="15" hidden="false" customHeight="false" outlineLevel="0" collapsed="false">
      <c r="A244" s="75"/>
      <c r="B244" s="76"/>
      <c r="C244" s="77"/>
      <c r="D244" s="77"/>
      <c r="E244" s="78"/>
      <c r="F244" s="77"/>
      <c r="G244" s="77"/>
      <c r="H244" s="79" t="n">
        <f aca="false">N(H243)+IFERROR(IF(AND($A244&lt;&gt;"",$E244&lt;&gt;"",$A244&gt;=IF(Search!$E$4="",0,Search!$E$4),$A244&lt;=IF(Search!$E$5="",99999,Search!$E$5),OR(Search!$E$6="",ISNUMBER(SEARCH(Search!$E$6,$C244))),OR(Search!$E$7="All",Search!$E$7="",$D244=Search!$E$7),OR(Search!$E$8="",Search!$E$9="",AND($B244&lt;&gt;"",MOD($B244,1)&gt;=Search!$E$8,MOD($B244,1)&lt;=Search!$E$9))),1,0),0)</f>
        <v>0</v>
      </c>
      <c r="I244" s="79" t="n">
        <f aca="false">IF(H244&gt;N(H243),$E244,0)</f>
        <v>0</v>
      </c>
      <c r="J244" s="79" t="n">
        <f aca="false">IFERROR(IF(AND($A244&lt;&gt;"",$E244&lt;&gt;"",$A244&gt;=PeriodStart,$A244&lt;=PeriodEnd),$E244+ROW()/1000000,0),0)</f>
        <v>0</v>
      </c>
    </row>
    <row r="245" customFormat="false" ht="15" hidden="false" customHeight="false" outlineLevel="0" collapsed="false">
      <c r="A245" s="75"/>
      <c r="B245" s="76"/>
      <c r="C245" s="77"/>
      <c r="D245" s="77"/>
      <c r="E245" s="78"/>
      <c r="F245" s="77"/>
      <c r="G245" s="77"/>
      <c r="H245" s="79" t="n">
        <f aca="false">N(H244)+IFERROR(IF(AND($A245&lt;&gt;"",$E245&lt;&gt;"",$A245&gt;=IF(Search!$E$4="",0,Search!$E$4),$A245&lt;=IF(Search!$E$5="",99999,Search!$E$5),OR(Search!$E$6="",ISNUMBER(SEARCH(Search!$E$6,$C245))),OR(Search!$E$7="All",Search!$E$7="",$D245=Search!$E$7),OR(Search!$E$8="",Search!$E$9="",AND($B245&lt;&gt;"",MOD($B245,1)&gt;=Search!$E$8,MOD($B245,1)&lt;=Search!$E$9))),1,0),0)</f>
        <v>0</v>
      </c>
      <c r="I245" s="79" t="n">
        <f aca="false">IF(H245&gt;N(H244),$E245,0)</f>
        <v>0</v>
      </c>
      <c r="J245" s="79" t="n">
        <f aca="false">IFERROR(IF(AND($A245&lt;&gt;"",$E245&lt;&gt;"",$A245&gt;=PeriodStart,$A245&lt;=PeriodEnd),$E245+ROW()/1000000,0),0)</f>
        <v>0</v>
      </c>
    </row>
    <row r="246" customFormat="false" ht="15" hidden="false" customHeight="false" outlineLevel="0" collapsed="false">
      <c r="A246" s="75"/>
      <c r="B246" s="76"/>
      <c r="C246" s="77"/>
      <c r="D246" s="77"/>
      <c r="E246" s="78"/>
      <c r="F246" s="77"/>
      <c r="G246" s="77"/>
      <c r="H246" s="79" t="n">
        <f aca="false">N(H245)+IFERROR(IF(AND($A246&lt;&gt;"",$E246&lt;&gt;"",$A246&gt;=IF(Search!$E$4="",0,Search!$E$4),$A246&lt;=IF(Search!$E$5="",99999,Search!$E$5),OR(Search!$E$6="",ISNUMBER(SEARCH(Search!$E$6,$C246))),OR(Search!$E$7="All",Search!$E$7="",$D246=Search!$E$7),OR(Search!$E$8="",Search!$E$9="",AND($B246&lt;&gt;"",MOD($B246,1)&gt;=Search!$E$8,MOD($B246,1)&lt;=Search!$E$9))),1,0),0)</f>
        <v>0</v>
      </c>
      <c r="I246" s="79" t="n">
        <f aca="false">IF(H246&gt;N(H245),$E246,0)</f>
        <v>0</v>
      </c>
      <c r="J246" s="79" t="n">
        <f aca="false">IFERROR(IF(AND($A246&lt;&gt;"",$E246&lt;&gt;"",$A246&gt;=PeriodStart,$A246&lt;=PeriodEnd),$E246+ROW()/1000000,0),0)</f>
        <v>0</v>
      </c>
    </row>
    <row r="247" customFormat="false" ht="15" hidden="false" customHeight="false" outlineLevel="0" collapsed="false">
      <c r="A247" s="75"/>
      <c r="B247" s="76"/>
      <c r="C247" s="77"/>
      <c r="D247" s="77"/>
      <c r="E247" s="78"/>
      <c r="F247" s="77"/>
      <c r="G247" s="77"/>
      <c r="H247" s="79" t="n">
        <f aca="false">N(H246)+IFERROR(IF(AND($A247&lt;&gt;"",$E247&lt;&gt;"",$A247&gt;=IF(Search!$E$4="",0,Search!$E$4),$A247&lt;=IF(Search!$E$5="",99999,Search!$E$5),OR(Search!$E$6="",ISNUMBER(SEARCH(Search!$E$6,$C247))),OR(Search!$E$7="All",Search!$E$7="",$D247=Search!$E$7),OR(Search!$E$8="",Search!$E$9="",AND($B247&lt;&gt;"",MOD($B247,1)&gt;=Search!$E$8,MOD($B247,1)&lt;=Search!$E$9))),1,0),0)</f>
        <v>0</v>
      </c>
      <c r="I247" s="79" t="n">
        <f aca="false">IF(H247&gt;N(H246),$E247,0)</f>
        <v>0</v>
      </c>
      <c r="J247" s="79" t="n">
        <f aca="false">IFERROR(IF(AND($A247&lt;&gt;"",$E247&lt;&gt;"",$A247&gt;=PeriodStart,$A247&lt;=PeriodEnd),$E247+ROW()/1000000,0),0)</f>
        <v>0</v>
      </c>
    </row>
    <row r="248" customFormat="false" ht="15" hidden="false" customHeight="false" outlineLevel="0" collapsed="false">
      <c r="A248" s="75"/>
      <c r="B248" s="76"/>
      <c r="C248" s="77"/>
      <c r="D248" s="77"/>
      <c r="E248" s="78"/>
      <c r="F248" s="77"/>
      <c r="G248" s="77"/>
      <c r="H248" s="79" t="n">
        <f aca="false">N(H247)+IFERROR(IF(AND($A248&lt;&gt;"",$E248&lt;&gt;"",$A248&gt;=IF(Search!$E$4="",0,Search!$E$4),$A248&lt;=IF(Search!$E$5="",99999,Search!$E$5),OR(Search!$E$6="",ISNUMBER(SEARCH(Search!$E$6,$C248))),OR(Search!$E$7="All",Search!$E$7="",$D248=Search!$E$7),OR(Search!$E$8="",Search!$E$9="",AND($B248&lt;&gt;"",MOD($B248,1)&gt;=Search!$E$8,MOD($B248,1)&lt;=Search!$E$9))),1,0),0)</f>
        <v>0</v>
      </c>
      <c r="I248" s="79" t="n">
        <f aca="false">IF(H248&gt;N(H247),$E248,0)</f>
        <v>0</v>
      </c>
      <c r="J248" s="79" t="n">
        <f aca="false">IFERROR(IF(AND($A248&lt;&gt;"",$E248&lt;&gt;"",$A248&gt;=PeriodStart,$A248&lt;=PeriodEnd),$E248+ROW()/1000000,0),0)</f>
        <v>0</v>
      </c>
    </row>
    <row r="249" customFormat="false" ht="15" hidden="false" customHeight="false" outlineLevel="0" collapsed="false">
      <c r="A249" s="75"/>
      <c r="B249" s="76"/>
      <c r="C249" s="77"/>
      <c r="D249" s="77"/>
      <c r="E249" s="78"/>
      <c r="F249" s="77"/>
      <c r="G249" s="77"/>
      <c r="H249" s="79" t="n">
        <f aca="false">N(H248)+IFERROR(IF(AND($A249&lt;&gt;"",$E249&lt;&gt;"",$A249&gt;=IF(Search!$E$4="",0,Search!$E$4),$A249&lt;=IF(Search!$E$5="",99999,Search!$E$5),OR(Search!$E$6="",ISNUMBER(SEARCH(Search!$E$6,$C249))),OR(Search!$E$7="All",Search!$E$7="",$D249=Search!$E$7),OR(Search!$E$8="",Search!$E$9="",AND($B249&lt;&gt;"",MOD($B249,1)&gt;=Search!$E$8,MOD($B249,1)&lt;=Search!$E$9))),1,0),0)</f>
        <v>0</v>
      </c>
      <c r="I249" s="79" t="n">
        <f aca="false">IF(H249&gt;N(H248),$E249,0)</f>
        <v>0</v>
      </c>
      <c r="J249" s="79" t="n">
        <f aca="false">IFERROR(IF(AND($A249&lt;&gt;"",$E249&lt;&gt;"",$A249&gt;=PeriodStart,$A249&lt;=PeriodEnd),$E249+ROW()/1000000,0),0)</f>
        <v>0</v>
      </c>
    </row>
    <row r="250" customFormat="false" ht="15" hidden="false" customHeight="false" outlineLevel="0" collapsed="false">
      <c r="A250" s="75"/>
      <c r="B250" s="76"/>
      <c r="C250" s="77"/>
      <c r="D250" s="77"/>
      <c r="E250" s="78"/>
      <c r="F250" s="77"/>
      <c r="G250" s="77"/>
      <c r="H250" s="79" t="n">
        <f aca="false">N(H249)+IFERROR(IF(AND($A250&lt;&gt;"",$E250&lt;&gt;"",$A250&gt;=IF(Search!$E$4="",0,Search!$E$4),$A250&lt;=IF(Search!$E$5="",99999,Search!$E$5),OR(Search!$E$6="",ISNUMBER(SEARCH(Search!$E$6,$C250))),OR(Search!$E$7="All",Search!$E$7="",$D250=Search!$E$7),OR(Search!$E$8="",Search!$E$9="",AND($B250&lt;&gt;"",MOD($B250,1)&gt;=Search!$E$8,MOD($B250,1)&lt;=Search!$E$9))),1,0),0)</f>
        <v>0</v>
      </c>
      <c r="I250" s="79" t="n">
        <f aca="false">IF(H250&gt;N(H249),$E250,0)</f>
        <v>0</v>
      </c>
      <c r="J250" s="79" t="n">
        <f aca="false">IFERROR(IF(AND($A250&lt;&gt;"",$E250&lt;&gt;"",$A250&gt;=PeriodStart,$A250&lt;=PeriodEnd),$E250+ROW()/1000000,0),0)</f>
        <v>0</v>
      </c>
    </row>
    <row r="251" customFormat="false" ht="15" hidden="false" customHeight="false" outlineLevel="0" collapsed="false">
      <c r="A251" s="75"/>
      <c r="B251" s="76"/>
      <c r="C251" s="77"/>
      <c r="D251" s="77"/>
      <c r="E251" s="78"/>
      <c r="F251" s="77"/>
      <c r="G251" s="77"/>
      <c r="H251" s="79" t="n">
        <f aca="false">N(H250)+IFERROR(IF(AND($A251&lt;&gt;"",$E251&lt;&gt;"",$A251&gt;=IF(Search!$E$4="",0,Search!$E$4),$A251&lt;=IF(Search!$E$5="",99999,Search!$E$5),OR(Search!$E$6="",ISNUMBER(SEARCH(Search!$E$6,$C251))),OR(Search!$E$7="All",Search!$E$7="",$D251=Search!$E$7),OR(Search!$E$8="",Search!$E$9="",AND($B251&lt;&gt;"",MOD($B251,1)&gt;=Search!$E$8,MOD($B251,1)&lt;=Search!$E$9))),1,0),0)</f>
        <v>0</v>
      </c>
      <c r="I251" s="79" t="n">
        <f aca="false">IF(H251&gt;N(H250),$E251,0)</f>
        <v>0</v>
      </c>
      <c r="J251" s="79" t="n">
        <f aca="false">IFERROR(IF(AND($A251&lt;&gt;"",$E251&lt;&gt;"",$A251&gt;=PeriodStart,$A251&lt;=PeriodEnd),$E251+ROW()/1000000,0),0)</f>
        <v>0</v>
      </c>
    </row>
    <row r="252" customFormat="false" ht="15" hidden="false" customHeight="false" outlineLevel="0" collapsed="false">
      <c r="A252" s="75"/>
      <c r="B252" s="76"/>
      <c r="C252" s="77"/>
      <c r="D252" s="77"/>
      <c r="E252" s="78"/>
      <c r="F252" s="77"/>
      <c r="G252" s="77"/>
      <c r="H252" s="79" t="n">
        <f aca="false">N(H251)+IFERROR(IF(AND($A252&lt;&gt;"",$E252&lt;&gt;"",$A252&gt;=IF(Search!$E$4="",0,Search!$E$4),$A252&lt;=IF(Search!$E$5="",99999,Search!$E$5),OR(Search!$E$6="",ISNUMBER(SEARCH(Search!$E$6,$C252))),OR(Search!$E$7="All",Search!$E$7="",$D252=Search!$E$7),OR(Search!$E$8="",Search!$E$9="",AND($B252&lt;&gt;"",MOD($B252,1)&gt;=Search!$E$8,MOD($B252,1)&lt;=Search!$E$9))),1,0),0)</f>
        <v>0</v>
      </c>
      <c r="I252" s="79" t="n">
        <f aca="false">IF(H252&gt;N(H251),$E252,0)</f>
        <v>0</v>
      </c>
      <c r="J252" s="79" t="n">
        <f aca="false">IFERROR(IF(AND($A252&lt;&gt;"",$E252&lt;&gt;"",$A252&gt;=PeriodStart,$A252&lt;=PeriodEnd),$E252+ROW()/1000000,0),0)</f>
        <v>0</v>
      </c>
    </row>
    <row r="253" customFormat="false" ht="15" hidden="false" customHeight="false" outlineLevel="0" collapsed="false">
      <c r="A253" s="75"/>
      <c r="B253" s="76"/>
      <c r="C253" s="77"/>
      <c r="D253" s="77"/>
      <c r="E253" s="78"/>
      <c r="F253" s="77"/>
      <c r="G253" s="77"/>
      <c r="H253" s="79" t="n">
        <f aca="false">N(H252)+IFERROR(IF(AND($A253&lt;&gt;"",$E253&lt;&gt;"",$A253&gt;=IF(Search!$E$4="",0,Search!$E$4),$A253&lt;=IF(Search!$E$5="",99999,Search!$E$5),OR(Search!$E$6="",ISNUMBER(SEARCH(Search!$E$6,$C253))),OR(Search!$E$7="All",Search!$E$7="",$D253=Search!$E$7),OR(Search!$E$8="",Search!$E$9="",AND($B253&lt;&gt;"",MOD($B253,1)&gt;=Search!$E$8,MOD($B253,1)&lt;=Search!$E$9))),1,0),0)</f>
        <v>0</v>
      </c>
      <c r="I253" s="79" t="n">
        <f aca="false">IF(H253&gt;N(H252),$E253,0)</f>
        <v>0</v>
      </c>
      <c r="J253" s="79" t="n">
        <f aca="false">IFERROR(IF(AND($A253&lt;&gt;"",$E253&lt;&gt;"",$A253&gt;=PeriodStart,$A253&lt;=PeriodEnd),$E253+ROW()/1000000,0),0)</f>
        <v>0</v>
      </c>
    </row>
    <row r="254" customFormat="false" ht="15" hidden="false" customHeight="false" outlineLevel="0" collapsed="false">
      <c r="A254" s="75"/>
      <c r="B254" s="76"/>
      <c r="C254" s="77"/>
      <c r="D254" s="77"/>
      <c r="E254" s="78"/>
      <c r="F254" s="77"/>
      <c r="G254" s="77"/>
      <c r="H254" s="79" t="n">
        <f aca="false">N(H253)+IFERROR(IF(AND($A254&lt;&gt;"",$E254&lt;&gt;"",$A254&gt;=IF(Search!$E$4="",0,Search!$E$4),$A254&lt;=IF(Search!$E$5="",99999,Search!$E$5),OR(Search!$E$6="",ISNUMBER(SEARCH(Search!$E$6,$C254))),OR(Search!$E$7="All",Search!$E$7="",$D254=Search!$E$7),OR(Search!$E$8="",Search!$E$9="",AND($B254&lt;&gt;"",MOD($B254,1)&gt;=Search!$E$8,MOD($B254,1)&lt;=Search!$E$9))),1,0),0)</f>
        <v>0</v>
      </c>
      <c r="I254" s="79" t="n">
        <f aca="false">IF(H254&gt;N(H253),$E254,0)</f>
        <v>0</v>
      </c>
      <c r="J254" s="79" t="n">
        <f aca="false">IFERROR(IF(AND($A254&lt;&gt;"",$E254&lt;&gt;"",$A254&gt;=PeriodStart,$A254&lt;=PeriodEnd),$E254+ROW()/1000000,0),0)</f>
        <v>0</v>
      </c>
    </row>
    <row r="255" customFormat="false" ht="15" hidden="false" customHeight="false" outlineLevel="0" collapsed="false">
      <c r="A255" s="75"/>
      <c r="B255" s="76"/>
      <c r="C255" s="77"/>
      <c r="D255" s="77"/>
      <c r="E255" s="78"/>
      <c r="F255" s="77"/>
      <c r="G255" s="77"/>
      <c r="H255" s="79" t="n">
        <f aca="false">N(H254)+IFERROR(IF(AND($A255&lt;&gt;"",$E255&lt;&gt;"",$A255&gt;=IF(Search!$E$4="",0,Search!$E$4),$A255&lt;=IF(Search!$E$5="",99999,Search!$E$5),OR(Search!$E$6="",ISNUMBER(SEARCH(Search!$E$6,$C255))),OR(Search!$E$7="All",Search!$E$7="",$D255=Search!$E$7),OR(Search!$E$8="",Search!$E$9="",AND($B255&lt;&gt;"",MOD($B255,1)&gt;=Search!$E$8,MOD($B255,1)&lt;=Search!$E$9))),1,0),0)</f>
        <v>0</v>
      </c>
      <c r="I255" s="79" t="n">
        <f aca="false">IF(H255&gt;N(H254),$E255,0)</f>
        <v>0</v>
      </c>
      <c r="J255" s="79" t="n">
        <f aca="false">IFERROR(IF(AND($A255&lt;&gt;"",$E255&lt;&gt;"",$A255&gt;=PeriodStart,$A255&lt;=PeriodEnd),$E255+ROW()/1000000,0),0)</f>
        <v>0</v>
      </c>
    </row>
    <row r="256" customFormat="false" ht="15" hidden="false" customHeight="false" outlineLevel="0" collapsed="false">
      <c r="A256" s="75"/>
      <c r="B256" s="76"/>
      <c r="C256" s="77"/>
      <c r="D256" s="77"/>
      <c r="E256" s="78"/>
      <c r="F256" s="77"/>
      <c r="G256" s="77"/>
      <c r="H256" s="79" t="n">
        <f aca="false">N(H255)+IFERROR(IF(AND($A256&lt;&gt;"",$E256&lt;&gt;"",$A256&gt;=IF(Search!$E$4="",0,Search!$E$4),$A256&lt;=IF(Search!$E$5="",99999,Search!$E$5),OR(Search!$E$6="",ISNUMBER(SEARCH(Search!$E$6,$C256))),OR(Search!$E$7="All",Search!$E$7="",$D256=Search!$E$7),OR(Search!$E$8="",Search!$E$9="",AND($B256&lt;&gt;"",MOD($B256,1)&gt;=Search!$E$8,MOD($B256,1)&lt;=Search!$E$9))),1,0),0)</f>
        <v>0</v>
      </c>
      <c r="I256" s="79" t="n">
        <f aca="false">IF(H256&gt;N(H255),$E256,0)</f>
        <v>0</v>
      </c>
      <c r="J256" s="79" t="n">
        <f aca="false">IFERROR(IF(AND($A256&lt;&gt;"",$E256&lt;&gt;"",$A256&gt;=PeriodStart,$A256&lt;=PeriodEnd),$E256+ROW()/1000000,0),0)</f>
        <v>0</v>
      </c>
    </row>
    <row r="257" customFormat="false" ht="15" hidden="false" customHeight="false" outlineLevel="0" collapsed="false">
      <c r="A257" s="75"/>
      <c r="B257" s="76"/>
      <c r="C257" s="77"/>
      <c r="D257" s="77"/>
      <c r="E257" s="78"/>
      <c r="F257" s="77"/>
      <c r="G257" s="77"/>
      <c r="H257" s="79" t="n">
        <f aca="false">N(H256)+IFERROR(IF(AND($A257&lt;&gt;"",$E257&lt;&gt;"",$A257&gt;=IF(Search!$E$4="",0,Search!$E$4),$A257&lt;=IF(Search!$E$5="",99999,Search!$E$5),OR(Search!$E$6="",ISNUMBER(SEARCH(Search!$E$6,$C257))),OR(Search!$E$7="All",Search!$E$7="",$D257=Search!$E$7),OR(Search!$E$8="",Search!$E$9="",AND($B257&lt;&gt;"",MOD($B257,1)&gt;=Search!$E$8,MOD($B257,1)&lt;=Search!$E$9))),1,0),0)</f>
        <v>0</v>
      </c>
      <c r="I257" s="79" t="n">
        <f aca="false">IF(H257&gt;N(H256),$E257,0)</f>
        <v>0</v>
      </c>
      <c r="J257" s="79" t="n">
        <f aca="false">IFERROR(IF(AND($A257&lt;&gt;"",$E257&lt;&gt;"",$A257&gt;=PeriodStart,$A257&lt;=PeriodEnd),$E257+ROW()/1000000,0),0)</f>
        <v>0</v>
      </c>
    </row>
    <row r="258" customFormat="false" ht="15" hidden="false" customHeight="false" outlineLevel="0" collapsed="false">
      <c r="A258" s="75"/>
      <c r="B258" s="76"/>
      <c r="C258" s="77"/>
      <c r="D258" s="77"/>
      <c r="E258" s="78"/>
      <c r="F258" s="77"/>
      <c r="G258" s="77"/>
      <c r="H258" s="79" t="n">
        <f aca="false">N(H257)+IFERROR(IF(AND($A258&lt;&gt;"",$E258&lt;&gt;"",$A258&gt;=IF(Search!$E$4="",0,Search!$E$4),$A258&lt;=IF(Search!$E$5="",99999,Search!$E$5),OR(Search!$E$6="",ISNUMBER(SEARCH(Search!$E$6,$C258))),OR(Search!$E$7="All",Search!$E$7="",$D258=Search!$E$7),OR(Search!$E$8="",Search!$E$9="",AND($B258&lt;&gt;"",MOD($B258,1)&gt;=Search!$E$8,MOD($B258,1)&lt;=Search!$E$9))),1,0),0)</f>
        <v>0</v>
      </c>
      <c r="I258" s="79" t="n">
        <f aca="false">IF(H258&gt;N(H257),$E258,0)</f>
        <v>0</v>
      </c>
      <c r="J258" s="79" t="n">
        <f aca="false">IFERROR(IF(AND($A258&lt;&gt;"",$E258&lt;&gt;"",$A258&gt;=PeriodStart,$A258&lt;=PeriodEnd),$E258+ROW()/1000000,0),0)</f>
        <v>0</v>
      </c>
    </row>
    <row r="259" customFormat="false" ht="15" hidden="false" customHeight="false" outlineLevel="0" collapsed="false">
      <c r="A259" s="75"/>
      <c r="B259" s="76"/>
      <c r="C259" s="77"/>
      <c r="D259" s="77"/>
      <c r="E259" s="78"/>
      <c r="F259" s="77"/>
      <c r="G259" s="77"/>
      <c r="H259" s="79" t="n">
        <f aca="false">N(H258)+IFERROR(IF(AND($A259&lt;&gt;"",$E259&lt;&gt;"",$A259&gt;=IF(Search!$E$4="",0,Search!$E$4),$A259&lt;=IF(Search!$E$5="",99999,Search!$E$5),OR(Search!$E$6="",ISNUMBER(SEARCH(Search!$E$6,$C259))),OR(Search!$E$7="All",Search!$E$7="",$D259=Search!$E$7),OR(Search!$E$8="",Search!$E$9="",AND($B259&lt;&gt;"",MOD($B259,1)&gt;=Search!$E$8,MOD($B259,1)&lt;=Search!$E$9))),1,0),0)</f>
        <v>0</v>
      </c>
      <c r="I259" s="79" t="n">
        <f aca="false">IF(H259&gt;N(H258),$E259,0)</f>
        <v>0</v>
      </c>
      <c r="J259" s="79" t="n">
        <f aca="false">IFERROR(IF(AND($A259&lt;&gt;"",$E259&lt;&gt;"",$A259&gt;=PeriodStart,$A259&lt;=PeriodEnd),$E259+ROW()/1000000,0),0)</f>
        <v>0</v>
      </c>
    </row>
    <row r="260" customFormat="false" ht="15" hidden="false" customHeight="false" outlineLevel="0" collapsed="false">
      <c r="A260" s="75"/>
      <c r="B260" s="76"/>
      <c r="C260" s="77"/>
      <c r="D260" s="77"/>
      <c r="E260" s="78"/>
      <c r="F260" s="77"/>
      <c r="G260" s="77"/>
      <c r="H260" s="79" t="n">
        <f aca="false">N(H259)+IFERROR(IF(AND($A260&lt;&gt;"",$E260&lt;&gt;"",$A260&gt;=IF(Search!$E$4="",0,Search!$E$4),$A260&lt;=IF(Search!$E$5="",99999,Search!$E$5),OR(Search!$E$6="",ISNUMBER(SEARCH(Search!$E$6,$C260))),OR(Search!$E$7="All",Search!$E$7="",$D260=Search!$E$7),OR(Search!$E$8="",Search!$E$9="",AND($B260&lt;&gt;"",MOD($B260,1)&gt;=Search!$E$8,MOD($B260,1)&lt;=Search!$E$9))),1,0),0)</f>
        <v>0</v>
      </c>
      <c r="I260" s="79" t="n">
        <f aca="false">IF(H260&gt;N(H259),$E260,0)</f>
        <v>0</v>
      </c>
      <c r="J260" s="79" t="n">
        <f aca="false">IFERROR(IF(AND($A260&lt;&gt;"",$E260&lt;&gt;"",$A260&gt;=PeriodStart,$A260&lt;=PeriodEnd),$E260+ROW()/1000000,0),0)</f>
        <v>0</v>
      </c>
    </row>
    <row r="261" customFormat="false" ht="15" hidden="false" customHeight="false" outlineLevel="0" collapsed="false">
      <c r="A261" s="75"/>
      <c r="B261" s="76"/>
      <c r="C261" s="77"/>
      <c r="D261" s="77"/>
      <c r="E261" s="78"/>
      <c r="F261" s="77"/>
      <c r="G261" s="77"/>
      <c r="H261" s="79" t="n">
        <f aca="false">N(H260)+IFERROR(IF(AND($A261&lt;&gt;"",$E261&lt;&gt;"",$A261&gt;=IF(Search!$E$4="",0,Search!$E$4),$A261&lt;=IF(Search!$E$5="",99999,Search!$E$5),OR(Search!$E$6="",ISNUMBER(SEARCH(Search!$E$6,$C261))),OR(Search!$E$7="All",Search!$E$7="",$D261=Search!$E$7),OR(Search!$E$8="",Search!$E$9="",AND($B261&lt;&gt;"",MOD($B261,1)&gt;=Search!$E$8,MOD($B261,1)&lt;=Search!$E$9))),1,0),0)</f>
        <v>0</v>
      </c>
      <c r="I261" s="79" t="n">
        <f aca="false">IF(H261&gt;N(H260),$E261,0)</f>
        <v>0</v>
      </c>
      <c r="J261" s="79" t="n">
        <f aca="false">IFERROR(IF(AND($A261&lt;&gt;"",$E261&lt;&gt;"",$A261&gt;=PeriodStart,$A261&lt;=PeriodEnd),$E261+ROW()/1000000,0),0)</f>
        <v>0</v>
      </c>
    </row>
    <row r="262" customFormat="false" ht="15" hidden="false" customHeight="false" outlineLevel="0" collapsed="false">
      <c r="A262" s="75"/>
      <c r="B262" s="76"/>
      <c r="C262" s="77"/>
      <c r="D262" s="77"/>
      <c r="E262" s="78"/>
      <c r="F262" s="77"/>
      <c r="G262" s="77"/>
      <c r="H262" s="79" t="n">
        <f aca="false">N(H261)+IFERROR(IF(AND($A262&lt;&gt;"",$E262&lt;&gt;"",$A262&gt;=IF(Search!$E$4="",0,Search!$E$4),$A262&lt;=IF(Search!$E$5="",99999,Search!$E$5),OR(Search!$E$6="",ISNUMBER(SEARCH(Search!$E$6,$C262))),OR(Search!$E$7="All",Search!$E$7="",$D262=Search!$E$7),OR(Search!$E$8="",Search!$E$9="",AND($B262&lt;&gt;"",MOD($B262,1)&gt;=Search!$E$8,MOD($B262,1)&lt;=Search!$E$9))),1,0),0)</f>
        <v>0</v>
      </c>
      <c r="I262" s="79" t="n">
        <f aca="false">IF(H262&gt;N(H261),$E262,0)</f>
        <v>0</v>
      </c>
      <c r="J262" s="79" t="n">
        <f aca="false">IFERROR(IF(AND($A262&lt;&gt;"",$E262&lt;&gt;"",$A262&gt;=PeriodStart,$A262&lt;=PeriodEnd),$E262+ROW()/1000000,0),0)</f>
        <v>0</v>
      </c>
    </row>
    <row r="263" customFormat="false" ht="15" hidden="false" customHeight="false" outlineLevel="0" collapsed="false">
      <c r="A263" s="75"/>
      <c r="B263" s="76"/>
      <c r="C263" s="77"/>
      <c r="D263" s="77"/>
      <c r="E263" s="78"/>
      <c r="F263" s="77"/>
      <c r="G263" s="77"/>
      <c r="H263" s="79" t="n">
        <f aca="false">N(H262)+IFERROR(IF(AND($A263&lt;&gt;"",$E263&lt;&gt;"",$A263&gt;=IF(Search!$E$4="",0,Search!$E$4),$A263&lt;=IF(Search!$E$5="",99999,Search!$E$5),OR(Search!$E$6="",ISNUMBER(SEARCH(Search!$E$6,$C263))),OR(Search!$E$7="All",Search!$E$7="",$D263=Search!$E$7),OR(Search!$E$8="",Search!$E$9="",AND($B263&lt;&gt;"",MOD($B263,1)&gt;=Search!$E$8,MOD($B263,1)&lt;=Search!$E$9))),1,0),0)</f>
        <v>0</v>
      </c>
      <c r="I263" s="79" t="n">
        <f aca="false">IF(H263&gt;N(H262),$E263,0)</f>
        <v>0</v>
      </c>
      <c r="J263" s="79" t="n">
        <f aca="false">IFERROR(IF(AND($A263&lt;&gt;"",$E263&lt;&gt;"",$A263&gt;=PeriodStart,$A263&lt;=PeriodEnd),$E263+ROW()/1000000,0),0)</f>
        <v>0</v>
      </c>
    </row>
    <row r="264" customFormat="false" ht="15" hidden="false" customHeight="false" outlineLevel="0" collapsed="false">
      <c r="A264" s="75"/>
      <c r="B264" s="76"/>
      <c r="C264" s="77"/>
      <c r="D264" s="77"/>
      <c r="E264" s="78"/>
      <c r="F264" s="77"/>
      <c r="G264" s="77"/>
      <c r="H264" s="79" t="n">
        <f aca="false">N(H263)+IFERROR(IF(AND($A264&lt;&gt;"",$E264&lt;&gt;"",$A264&gt;=IF(Search!$E$4="",0,Search!$E$4),$A264&lt;=IF(Search!$E$5="",99999,Search!$E$5),OR(Search!$E$6="",ISNUMBER(SEARCH(Search!$E$6,$C264))),OR(Search!$E$7="All",Search!$E$7="",$D264=Search!$E$7),OR(Search!$E$8="",Search!$E$9="",AND($B264&lt;&gt;"",MOD($B264,1)&gt;=Search!$E$8,MOD($B264,1)&lt;=Search!$E$9))),1,0),0)</f>
        <v>0</v>
      </c>
      <c r="I264" s="79" t="n">
        <f aca="false">IF(H264&gt;N(H263),$E264,0)</f>
        <v>0</v>
      </c>
      <c r="J264" s="79" t="n">
        <f aca="false">IFERROR(IF(AND($A264&lt;&gt;"",$E264&lt;&gt;"",$A264&gt;=PeriodStart,$A264&lt;=PeriodEnd),$E264+ROW()/1000000,0),0)</f>
        <v>0</v>
      </c>
    </row>
    <row r="265" customFormat="false" ht="15" hidden="false" customHeight="false" outlineLevel="0" collapsed="false">
      <c r="A265" s="75"/>
      <c r="B265" s="76"/>
      <c r="C265" s="77"/>
      <c r="D265" s="77"/>
      <c r="E265" s="78"/>
      <c r="F265" s="77"/>
      <c r="G265" s="77"/>
      <c r="H265" s="79" t="n">
        <f aca="false">N(H264)+IFERROR(IF(AND($A265&lt;&gt;"",$E265&lt;&gt;"",$A265&gt;=IF(Search!$E$4="",0,Search!$E$4),$A265&lt;=IF(Search!$E$5="",99999,Search!$E$5),OR(Search!$E$6="",ISNUMBER(SEARCH(Search!$E$6,$C265))),OR(Search!$E$7="All",Search!$E$7="",$D265=Search!$E$7),OR(Search!$E$8="",Search!$E$9="",AND($B265&lt;&gt;"",MOD($B265,1)&gt;=Search!$E$8,MOD($B265,1)&lt;=Search!$E$9))),1,0),0)</f>
        <v>0</v>
      </c>
      <c r="I265" s="79" t="n">
        <f aca="false">IF(H265&gt;N(H264),$E265,0)</f>
        <v>0</v>
      </c>
      <c r="J265" s="79" t="n">
        <f aca="false">IFERROR(IF(AND($A265&lt;&gt;"",$E265&lt;&gt;"",$A265&gt;=PeriodStart,$A265&lt;=PeriodEnd),$E265+ROW()/1000000,0),0)</f>
        <v>0</v>
      </c>
    </row>
    <row r="266" customFormat="false" ht="15" hidden="false" customHeight="false" outlineLevel="0" collapsed="false">
      <c r="A266" s="75"/>
      <c r="B266" s="76"/>
      <c r="C266" s="77"/>
      <c r="D266" s="77"/>
      <c r="E266" s="78"/>
      <c r="F266" s="77"/>
      <c r="G266" s="77"/>
      <c r="H266" s="79" t="n">
        <f aca="false">N(H265)+IFERROR(IF(AND($A266&lt;&gt;"",$E266&lt;&gt;"",$A266&gt;=IF(Search!$E$4="",0,Search!$E$4),$A266&lt;=IF(Search!$E$5="",99999,Search!$E$5),OR(Search!$E$6="",ISNUMBER(SEARCH(Search!$E$6,$C266))),OR(Search!$E$7="All",Search!$E$7="",$D266=Search!$E$7),OR(Search!$E$8="",Search!$E$9="",AND($B266&lt;&gt;"",MOD($B266,1)&gt;=Search!$E$8,MOD($B266,1)&lt;=Search!$E$9))),1,0),0)</f>
        <v>0</v>
      </c>
      <c r="I266" s="79" t="n">
        <f aca="false">IF(H266&gt;N(H265),$E266,0)</f>
        <v>0</v>
      </c>
      <c r="J266" s="79" t="n">
        <f aca="false">IFERROR(IF(AND($A266&lt;&gt;"",$E266&lt;&gt;"",$A266&gt;=PeriodStart,$A266&lt;=PeriodEnd),$E266+ROW()/1000000,0),0)</f>
        <v>0</v>
      </c>
    </row>
    <row r="267" customFormat="false" ht="15" hidden="false" customHeight="false" outlineLevel="0" collapsed="false">
      <c r="A267" s="75"/>
      <c r="B267" s="76"/>
      <c r="C267" s="77"/>
      <c r="D267" s="77"/>
      <c r="E267" s="78"/>
      <c r="F267" s="77"/>
      <c r="G267" s="77"/>
      <c r="H267" s="79" t="n">
        <f aca="false">N(H266)+IFERROR(IF(AND($A267&lt;&gt;"",$E267&lt;&gt;"",$A267&gt;=IF(Search!$E$4="",0,Search!$E$4),$A267&lt;=IF(Search!$E$5="",99999,Search!$E$5),OR(Search!$E$6="",ISNUMBER(SEARCH(Search!$E$6,$C267))),OR(Search!$E$7="All",Search!$E$7="",$D267=Search!$E$7),OR(Search!$E$8="",Search!$E$9="",AND($B267&lt;&gt;"",MOD($B267,1)&gt;=Search!$E$8,MOD($B267,1)&lt;=Search!$E$9))),1,0),0)</f>
        <v>0</v>
      </c>
      <c r="I267" s="79" t="n">
        <f aca="false">IF(H267&gt;N(H266),$E267,0)</f>
        <v>0</v>
      </c>
      <c r="J267" s="79" t="n">
        <f aca="false">IFERROR(IF(AND($A267&lt;&gt;"",$E267&lt;&gt;"",$A267&gt;=PeriodStart,$A267&lt;=PeriodEnd),$E267+ROW()/1000000,0),0)</f>
        <v>0</v>
      </c>
    </row>
    <row r="268" customFormat="false" ht="15" hidden="false" customHeight="false" outlineLevel="0" collapsed="false">
      <c r="A268" s="75"/>
      <c r="B268" s="76"/>
      <c r="C268" s="77"/>
      <c r="D268" s="77"/>
      <c r="E268" s="78"/>
      <c r="F268" s="77"/>
      <c r="G268" s="77"/>
      <c r="H268" s="79" t="n">
        <f aca="false">N(H267)+IFERROR(IF(AND($A268&lt;&gt;"",$E268&lt;&gt;"",$A268&gt;=IF(Search!$E$4="",0,Search!$E$4),$A268&lt;=IF(Search!$E$5="",99999,Search!$E$5),OR(Search!$E$6="",ISNUMBER(SEARCH(Search!$E$6,$C268))),OR(Search!$E$7="All",Search!$E$7="",$D268=Search!$E$7),OR(Search!$E$8="",Search!$E$9="",AND($B268&lt;&gt;"",MOD($B268,1)&gt;=Search!$E$8,MOD($B268,1)&lt;=Search!$E$9))),1,0),0)</f>
        <v>0</v>
      </c>
      <c r="I268" s="79" t="n">
        <f aca="false">IF(H268&gt;N(H267),$E268,0)</f>
        <v>0</v>
      </c>
      <c r="J268" s="79" t="n">
        <f aca="false">IFERROR(IF(AND($A268&lt;&gt;"",$E268&lt;&gt;"",$A268&gt;=PeriodStart,$A268&lt;=PeriodEnd),$E268+ROW()/1000000,0),0)</f>
        <v>0</v>
      </c>
    </row>
    <row r="269" customFormat="false" ht="15" hidden="false" customHeight="false" outlineLevel="0" collapsed="false">
      <c r="A269" s="75"/>
      <c r="B269" s="76"/>
      <c r="C269" s="77"/>
      <c r="D269" s="77"/>
      <c r="E269" s="78"/>
      <c r="F269" s="77"/>
      <c r="G269" s="77"/>
      <c r="H269" s="79" t="n">
        <f aca="false">N(H268)+IFERROR(IF(AND($A269&lt;&gt;"",$E269&lt;&gt;"",$A269&gt;=IF(Search!$E$4="",0,Search!$E$4),$A269&lt;=IF(Search!$E$5="",99999,Search!$E$5),OR(Search!$E$6="",ISNUMBER(SEARCH(Search!$E$6,$C269))),OR(Search!$E$7="All",Search!$E$7="",$D269=Search!$E$7),OR(Search!$E$8="",Search!$E$9="",AND($B269&lt;&gt;"",MOD($B269,1)&gt;=Search!$E$8,MOD($B269,1)&lt;=Search!$E$9))),1,0),0)</f>
        <v>0</v>
      </c>
      <c r="I269" s="79" t="n">
        <f aca="false">IF(H269&gt;N(H268),$E269,0)</f>
        <v>0</v>
      </c>
      <c r="J269" s="79" t="n">
        <f aca="false">IFERROR(IF(AND($A269&lt;&gt;"",$E269&lt;&gt;"",$A269&gt;=PeriodStart,$A269&lt;=PeriodEnd),$E269+ROW()/1000000,0),0)</f>
        <v>0</v>
      </c>
    </row>
    <row r="270" customFormat="false" ht="15" hidden="false" customHeight="false" outlineLevel="0" collapsed="false">
      <c r="A270" s="75"/>
      <c r="B270" s="76"/>
      <c r="C270" s="77"/>
      <c r="D270" s="77"/>
      <c r="E270" s="78"/>
      <c r="F270" s="77"/>
      <c r="G270" s="77"/>
      <c r="H270" s="79" t="n">
        <f aca="false">N(H269)+IFERROR(IF(AND($A270&lt;&gt;"",$E270&lt;&gt;"",$A270&gt;=IF(Search!$E$4="",0,Search!$E$4),$A270&lt;=IF(Search!$E$5="",99999,Search!$E$5),OR(Search!$E$6="",ISNUMBER(SEARCH(Search!$E$6,$C270))),OR(Search!$E$7="All",Search!$E$7="",$D270=Search!$E$7),OR(Search!$E$8="",Search!$E$9="",AND($B270&lt;&gt;"",MOD($B270,1)&gt;=Search!$E$8,MOD($B270,1)&lt;=Search!$E$9))),1,0),0)</f>
        <v>0</v>
      </c>
      <c r="I270" s="79" t="n">
        <f aca="false">IF(H270&gt;N(H269),$E270,0)</f>
        <v>0</v>
      </c>
      <c r="J270" s="79" t="n">
        <f aca="false">IFERROR(IF(AND($A270&lt;&gt;"",$E270&lt;&gt;"",$A270&gt;=PeriodStart,$A270&lt;=PeriodEnd),$E270+ROW()/1000000,0),0)</f>
        <v>0</v>
      </c>
    </row>
    <row r="271" customFormat="false" ht="15" hidden="false" customHeight="false" outlineLevel="0" collapsed="false">
      <c r="A271" s="75"/>
      <c r="B271" s="76"/>
      <c r="C271" s="77"/>
      <c r="D271" s="77"/>
      <c r="E271" s="78"/>
      <c r="F271" s="77"/>
      <c r="G271" s="77"/>
      <c r="H271" s="79" t="n">
        <f aca="false">N(H270)+IFERROR(IF(AND($A271&lt;&gt;"",$E271&lt;&gt;"",$A271&gt;=IF(Search!$E$4="",0,Search!$E$4),$A271&lt;=IF(Search!$E$5="",99999,Search!$E$5),OR(Search!$E$6="",ISNUMBER(SEARCH(Search!$E$6,$C271))),OR(Search!$E$7="All",Search!$E$7="",$D271=Search!$E$7),OR(Search!$E$8="",Search!$E$9="",AND($B271&lt;&gt;"",MOD($B271,1)&gt;=Search!$E$8,MOD($B271,1)&lt;=Search!$E$9))),1,0),0)</f>
        <v>0</v>
      </c>
      <c r="I271" s="79" t="n">
        <f aca="false">IF(H271&gt;N(H270),$E271,0)</f>
        <v>0</v>
      </c>
      <c r="J271" s="79" t="n">
        <f aca="false">IFERROR(IF(AND($A271&lt;&gt;"",$E271&lt;&gt;"",$A271&gt;=PeriodStart,$A271&lt;=PeriodEnd),$E271+ROW()/1000000,0),0)</f>
        <v>0</v>
      </c>
    </row>
    <row r="272" customFormat="false" ht="15" hidden="false" customHeight="false" outlineLevel="0" collapsed="false">
      <c r="A272" s="75"/>
      <c r="B272" s="76"/>
      <c r="C272" s="77"/>
      <c r="D272" s="77"/>
      <c r="E272" s="78"/>
      <c r="F272" s="77"/>
      <c r="G272" s="77"/>
      <c r="H272" s="79" t="n">
        <f aca="false">N(H271)+IFERROR(IF(AND($A272&lt;&gt;"",$E272&lt;&gt;"",$A272&gt;=IF(Search!$E$4="",0,Search!$E$4),$A272&lt;=IF(Search!$E$5="",99999,Search!$E$5),OR(Search!$E$6="",ISNUMBER(SEARCH(Search!$E$6,$C272))),OR(Search!$E$7="All",Search!$E$7="",$D272=Search!$E$7),OR(Search!$E$8="",Search!$E$9="",AND($B272&lt;&gt;"",MOD($B272,1)&gt;=Search!$E$8,MOD($B272,1)&lt;=Search!$E$9))),1,0),0)</f>
        <v>0</v>
      </c>
      <c r="I272" s="79" t="n">
        <f aca="false">IF(H272&gt;N(H271),$E272,0)</f>
        <v>0</v>
      </c>
      <c r="J272" s="79" t="n">
        <f aca="false">IFERROR(IF(AND($A272&lt;&gt;"",$E272&lt;&gt;"",$A272&gt;=PeriodStart,$A272&lt;=PeriodEnd),$E272+ROW()/1000000,0),0)</f>
        <v>0</v>
      </c>
    </row>
    <row r="273" customFormat="false" ht="15" hidden="false" customHeight="false" outlineLevel="0" collapsed="false">
      <c r="A273" s="75"/>
      <c r="B273" s="76"/>
      <c r="C273" s="77"/>
      <c r="D273" s="77"/>
      <c r="E273" s="78"/>
      <c r="F273" s="77"/>
      <c r="G273" s="77"/>
      <c r="H273" s="79" t="n">
        <f aca="false">N(H272)+IFERROR(IF(AND($A273&lt;&gt;"",$E273&lt;&gt;"",$A273&gt;=IF(Search!$E$4="",0,Search!$E$4),$A273&lt;=IF(Search!$E$5="",99999,Search!$E$5),OR(Search!$E$6="",ISNUMBER(SEARCH(Search!$E$6,$C273))),OR(Search!$E$7="All",Search!$E$7="",$D273=Search!$E$7),OR(Search!$E$8="",Search!$E$9="",AND($B273&lt;&gt;"",MOD($B273,1)&gt;=Search!$E$8,MOD($B273,1)&lt;=Search!$E$9))),1,0),0)</f>
        <v>0</v>
      </c>
      <c r="I273" s="79" t="n">
        <f aca="false">IF(H273&gt;N(H272),$E273,0)</f>
        <v>0</v>
      </c>
      <c r="J273" s="79" t="n">
        <f aca="false">IFERROR(IF(AND($A273&lt;&gt;"",$E273&lt;&gt;"",$A273&gt;=PeriodStart,$A273&lt;=PeriodEnd),$E273+ROW()/1000000,0),0)</f>
        <v>0</v>
      </c>
    </row>
    <row r="274" customFormat="false" ht="15" hidden="false" customHeight="false" outlineLevel="0" collapsed="false">
      <c r="A274" s="75"/>
      <c r="B274" s="76"/>
      <c r="C274" s="77"/>
      <c r="D274" s="77"/>
      <c r="E274" s="78"/>
      <c r="F274" s="77"/>
      <c r="G274" s="77"/>
      <c r="H274" s="79" t="n">
        <f aca="false">N(H273)+IFERROR(IF(AND($A274&lt;&gt;"",$E274&lt;&gt;"",$A274&gt;=IF(Search!$E$4="",0,Search!$E$4),$A274&lt;=IF(Search!$E$5="",99999,Search!$E$5),OR(Search!$E$6="",ISNUMBER(SEARCH(Search!$E$6,$C274))),OR(Search!$E$7="All",Search!$E$7="",$D274=Search!$E$7),OR(Search!$E$8="",Search!$E$9="",AND($B274&lt;&gt;"",MOD($B274,1)&gt;=Search!$E$8,MOD($B274,1)&lt;=Search!$E$9))),1,0),0)</f>
        <v>0</v>
      </c>
      <c r="I274" s="79" t="n">
        <f aca="false">IF(H274&gt;N(H273),$E274,0)</f>
        <v>0</v>
      </c>
      <c r="J274" s="79" t="n">
        <f aca="false">IFERROR(IF(AND($A274&lt;&gt;"",$E274&lt;&gt;"",$A274&gt;=PeriodStart,$A274&lt;=PeriodEnd),$E274+ROW()/1000000,0),0)</f>
        <v>0</v>
      </c>
    </row>
    <row r="275" customFormat="false" ht="15" hidden="false" customHeight="false" outlineLevel="0" collapsed="false">
      <c r="A275" s="75"/>
      <c r="B275" s="76"/>
      <c r="C275" s="77"/>
      <c r="D275" s="77"/>
      <c r="E275" s="78"/>
      <c r="F275" s="77"/>
      <c r="G275" s="77"/>
      <c r="H275" s="79" t="n">
        <f aca="false">N(H274)+IFERROR(IF(AND($A275&lt;&gt;"",$E275&lt;&gt;"",$A275&gt;=IF(Search!$E$4="",0,Search!$E$4),$A275&lt;=IF(Search!$E$5="",99999,Search!$E$5),OR(Search!$E$6="",ISNUMBER(SEARCH(Search!$E$6,$C275))),OR(Search!$E$7="All",Search!$E$7="",$D275=Search!$E$7),OR(Search!$E$8="",Search!$E$9="",AND($B275&lt;&gt;"",MOD($B275,1)&gt;=Search!$E$8,MOD($B275,1)&lt;=Search!$E$9))),1,0),0)</f>
        <v>0</v>
      </c>
      <c r="I275" s="79" t="n">
        <f aca="false">IF(H275&gt;N(H274),$E275,0)</f>
        <v>0</v>
      </c>
      <c r="J275" s="79" t="n">
        <f aca="false">IFERROR(IF(AND($A275&lt;&gt;"",$E275&lt;&gt;"",$A275&gt;=PeriodStart,$A275&lt;=PeriodEnd),$E275+ROW()/1000000,0),0)</f>
        <v>0</v>
      </c>
    </row>
    <row r="276" customFormat="false" ht="15" hidden="false" customHeight="false" outlineLevel="0" collapsed="false">
      <c r="A276" s="75"/>
      <c r="B276" s="76"/>
      <c r="C276" s="77"/>
      <c r="D276" s="77"/>
      <c r="E276" s="78"/>
      <c r="F276" s="77"/>
      <c r="G276" s="77"/>
      <c r="H276" s="79" t="n">
        <f aca="false">N(H275)+IFERROR(IF(AND($A276&lt;&gt;"",$E276&lt;&gt;"",$A276&gt;=IF(Search!$E$4="",0,Search!$E$4),$A276&lt;=IF(Search!$E$5="",99999,Search!$E$5),OR(Search!$E$6="",ISNUMBER(SEARCH(Search!$E$6,$C276))),OR(Search!$E$7="All",Search!$E$7="",$D276=Search!$E$7),OR(Search!$E$8="",Search!$E$9="",AND($B276&lt;&gt;"",MOD($B276,1)&gt;=Search!$E$8,MOD($B276,1)&lt;=Search!$E$9))),1,0),0)</f>
        <v>0</v>
      </c>
      <c r="I276" s="79" t="n">
        <f aca="false">IF(H276&gt;N(H275),$E276,0)</f>
        <v>0</v>
      </c>
      <c r="J276" s="79" t="n">
        <f aca="false">IFERROR(IF(AND($A276&lt;&gt;"",$E276&lt;&gt;"",$A276&gt;=PeriodStart,$A276&lt;=PeriodEnd),$E276+ROW()/1000000,0),0)</f>
        <v>0</v>
      </c>
    </row>
    <row r="277" customFormat="false" ht="15" hidden="false" customHeight="false" outlineLevel="0" collapsed="false">
      <c r="A277" s="75"/>
      <c r="B277" s="76"/>
      <c r="C277" s="77"/>
      <c r="D277" s="77"/>
      <c r="E277" s="78"/>
      <c r="F277" s="77"/>
      <c r="G277" s="77"/>
      <c r="H277" s="79" t="n">
        <f aca="false">N(H276)+IFERROR(IF(AND($A277&lt;&gt;"",$E277&lt;&gt;"",$A277&gt;=IF(Search!$E$4="",0,Search!$E$4),$A277&lt;=IF(Search!$E$5="",99999,Search!$E$5),OR(Search!$E$6="",ISNUMBER(SEARCH(Search!$E$6,$C277))),OR(Search!$E$7="All",Search!$E$7="",$D277=Search!$E$7),OR(Search!$E$8="",Search!$E$9="",AND($B277&lt;&gt;"",MOD($B277,1)&gt;=Search!$E$8,MOD($B277,1)&lt;=Search!$E$9))),1,0),0)</f>
        <v>0</v>
      </c>
      <c r="I277" s="79" t="n">
        <f aca="false">IF(H277&gt;N(H276),$E277,0)</f>
        <v>0</v>
      </c>
      <c r="J277" s="79" t="n">
        <f aca="false">IFERROR(IF(AND($A277&lt;&gt;"",$E277&lt;&gt;"",$A277&gt;=PeriodStart,$A277&lt;=PeriodEnd),$E277+ROW()/1000000,0),0)</f>
        <v>0</v>
      </c>
    </row>
    <row r="278" customFormat="false" ht="15" hidden="false" customHeight="false" outlineLevel="0" collapsed="false">
      <c r="A278" s="75"/>
      <c r="B278" s="76"/>
      <c r="C278" s="77"/>
      <c r="D278" s="77"/>
      <c r="E278" s="78"/>
      <c r="F278" s="77"/>
      <c r="G278" s="77"/>
      <c r="H278" s="79" t="n">
        <f aca="false">N(H277)+IFERROR(IF(AND($A278&lt;&gt;"",$E278&lt;&gt;"",$A278&gt;=IF(Search!$E$4="",0,Search!$E$4),$A278&lt;=IF(Search!$E$5="",99999,Search!$E$5),OR(Search!$E$6="",ISNUMBER(SEARCH(Search!$E$6,$C278))),OR(Search!$E$7="All",Search!$E$7="",$D278=Search!$E$7),OR(Search!$E$8="",Search!$E$9="",AND($B278&lt;&gt;"",MOD($B278,1)&gt;=Search!$E$8,MOD($B278,1)&lt;=Search!$E$9))),1,0),0)</f>
        <v>0</v>
      </c>
      <c r="I278" s="79" t="n">
        <f aca="false">IF(H278&gt;N(H277),$E278,0)</f>
        <v>0</v>
      </c>
      <c r="J278" s="79" t="n">
        <f aca="false">IFERROR(IF(AND($A278&lt;&gt;"",$E278&lt;&gt;"",$A278&gt;=PeriodStart,$A278&lt;=PeriodEnd),$E278+ROW()/1000000,0),0)</f>
        <v>0</v>
      </c>
    </row>
    <row r="279" customFormat="false" ht="15" hidden="false" customHeight="false" outlineLevel="0" collapsed="false">
      <c r="A279" s="75"/>
      <c r="B279" s="76"/>
      <c r="C279" s="77"/>
      <c r="D279" s="77"/>
      <c r="E279" s="78"/>
      <c r="F279" s="77"/>
      <c r="G279" s="77"/>
      <c r="H279" s="79" t="n">
        <f aca="false">N(H278)+IFERROR(IF(AND($A279&lt;&gt;"",$E279&lt;&gt;"",$A279&gt;=IF(Search!$E$4="",0,Search!$E$4),$A279&lt;=IF(Search!$E$5="",99999,Search!$E$5),OR(Search!$E$6="",ISNUMBER(SEARCH(Search!$E$6,$C279))),OR(Search!$E$7="All",Search!$E$7="",$D279=Search!$E$7),OR(Search!$E$8="",Search!$E$9="",AND($B279&lt;&gt;"",MOD($B279,1)&gt;=Search!$E$8,MOD($B279,1)&lt;=Search!$E$9))),1,0),0)</f>
        <v>0</v>
      </c>
      <c r="I279" s="79" t="n">
        <f aca="false">IF(H279&gt;N(H278),$E279,0)</f>
        <v>0</v>
      </c>
      <c r="J279" s="79" t="n">
        <f aca="false">IFERROR(IF(AND($A279&lt;&gt;"",$E279&lt;&gt;"",$A279&gt;=PeriodStart,$A279&lt;=PeriodEnd),$E279+ROW()/1000000,0),0)</f>
        <v>0</v>
      </c>
    </row>
    <row r="280" customFormat="false" ht="15" hidden="false" customHeight="false" outlineLevel="0" collapsed="false">
      <c r="A280" s="75"/>
      <c r="B280" s="76"/>
      <c r="C280" s="77"/>
      <c r="D280" s="77"/>
      <c r="E280" s="78"/>
      <c r="F280" s="77"/>
      <c r="G280" s="77"/>
      <c r="H280" s="79" t="n">
        <f aca="false">N(H279)+IFERROR(IF(AND($A280&lt;&gt;"",$E280&lt;&gt;"",$A280&gt;=IF(Search!$E$4="",0,Search!$E$4),$A280&lt;=IF(Search!$E$5="",99999,Search!$E$5),OR(Search!$E$6="",ISNUMBER(SEARCH(Search!$E$6,$C280))),OR(Search!$E$7="All",Search!$E$7="",$D280=Search!$E$7),OR(Search!$E$8="",Search!$E$9="",AND($B280&lt;&gt;"",MOD($B280,1)&gt;=Search!$E$8,MOD($B280,1)&lt;=Search!$E$9))),1,0),0)</f>
        <v>0</v>
      </c>
      <c r="I280" s="79" t="n">
        <f aca="false">IF(H280&gt;N(H279),$E280,0)</f>
        <v>0</v>
      </c>
      <c r="J280" s="79" t="n">
        <f aca="false">IFERROR(IF(AND($A280&lt;&gt;"",$E280&lt;&gt;"",$A280&gt;=PeriodStart,$A280&lt;=PeriodEnd),$E280+ROW()/1000000,0),0)</f>
        <v>0</v>
      </c>
    </row>
    <row r="281" customFormat="false" ht="15" hidden="false" customHeight="false" outlineLevel="0" collapsed="false">
      <c r="A281" s="75"/>
      <c r="B281" s="76"/>
      <c r="C281" s="77"/>
      <c r="D281" s="77"/>
      <c r="E281" s="78"/>
      <c r="F281" s="77"/>
      <c r="G281" s="77"/>
      <c r="H281" s="79" t="n">
        <f aca="false">N(H280)+IFERROR(IF(AND($A281&lt;&gt;"",$E281&lt;&gt;"",$A281&gt;=IF(Search!$E$4="",0,Search!$E$4),$A281&lt;=IF(Search!$E$5="",99999,Search!$E$5),OR(Search!$E$6="",ISNUMBER(SEARCH(Search!$E$6,$C281))),OR(Search!$E$7="All",Search!$E$7="",$D281=Search!$E$7),OR(Search!$E$8="",Search!$E$9="",AND($B281&lt;&gt;"",MOD($B281,1)&gt;=Search!$E$8,MOD($B281,1)&lt;=Search!$E$9))),1,0),0)</f>
        <v>0</v>
      </c>
      <c r="I281" s="79" t="n">
        <f aca="false">IF(H281&gt;N(H280),$E281,0)</f>
        <v>0</v>
      </c>
      <c r="J281" s="79" t="n">
        <f aca="false">IFERROR(IF(AND($A281&lt;&gt;"",$E281&lt;&gt;"",$A281&gt;=PeriodStart,$A281&lt;=PeriodEnd),$E281+ROW()/1000000,0),0)</f>
        <v>0</v>
      </c>
    </row>
    <row r="282" customFormat="false" ht="15" hidden="false" customHeight="false" outlineLevel="0" collapsed="false">
      <c r="A282" s="75"/>
      <c r="B282" s="76"/>
      <c r="C282" s="77"/>
      <c r="D282" s="77"/>
      <c r="E282" s="78"/>
      <c r="F282" s="77"/>
      <c r="G282" s="77"/>
      <c r="H282" s="79" t="n">
        <f aca="false">N(H281)+IFERROR(IF(AND($A282&lt;&gt;"",$E282&lt;&gt;"",$A282&gt;=IF(Search!$E$4="",0,Search!$E$4),$A282&lt;=IF(Search!$E$5="",99999,Search!$E$5),OR(Search!$E$6="",ISNUMBER(SEARCH(Search!$E$6,$C282))),OR(Search!$E$7="All",Search!$E$7="",$D282=Search!$E$7),OR(Search!$E$8="",Search!$E$9="",AND($B282&lt;&gt;"",MOD($B282,1)&gt;=Search!$E$8,MOD($B282,1)&lt;=Search!$E$9))),1,0),0)</f>
        <v>0</v>
      </c>
      <c r="I282" s="79" t="n">
        <f aca="false">IF(H282&gt;N(H281),$E282,0)</f>
        <v>0</v>
      </c>
      <c r="J282" s="79" t="n">
        <f aca="false">IFERROR(IF(AND($A282&lt;&gt;"",$E282&lt;&gt;"",$A282&gt;=PeriodStart,$A282&lt;=PeriodEnd),$E282+ROW()/1000000,0),0)</f>
        <v>0</v>
      </c>
    </row>
    <row r="283" customFormat="false" ht="15" hidden="false" customHeight="false" outlineLevel="0" collapsed="false">
      <c r="A283" s="75"/>
      <c r="B283" s="76"/>
      <c r="C283" s="77"/>
      <c r="D283" s="77"/>
      <c r="E283" s="78"/>
      <c r="F283" s="77"/>
      <c r="G283" s="77"/>
      <c r="H283" s="79" t="n">
        <f aca="false">N(H282)+IFERROR(IF(AND($A283&lt;&gt;"",$E283&lt;&gt;"",$A283&gt;=IF(Search!$E$4="",0,Search!$E$4),$A283&lt;=IF(Search!$E$5="",99999,Search!$E$5),OR(Search!$E$6="",ISNUMBER(SEARCH(Search!$E$6,$C283))),OR(Search!$E$7="All",Search!$E$7="",$D283=Search!$E$7),OR(Search!$E$8="",Search!$E$9="",AND($B283&lt;&gt;"",MOD($B283,1)&gt;=Search!$E$8,MOD($B283,1)&lt;=Search!$E$9))),1,0),0)</f>
        <v>0</v>
      </c>
      <c r="I283" s="79" t="n">
        <f aca="false">IF(H283&gt;N(H282),$E283,0)</f>
        <v>0</v>
      </c>
      <c r="J283" s="79" t="n">
        <f aca="false">IFERROR(IF(AND($A283&lt;&gt;"",$E283&lt;&gt;"",$A283&gt;=PeriodStart,$A283&lt;=PeriodEnd),$E283+ROW()/1000000,0),0)</f>
        <v>0</v>
      </c>
    </row>
    <row r="284" customFormat="false" ht="15" hidden="false" customHeight="false" outlineLevel="0" collapsed="false">
      <c r="A284" s="75"/>
      <c r="B284" s="76"/>
      <c r="C284" s="77"/>
      <c r="D284" s="77"/>
      <c r="E284" s="78"/>
      <c r="F284" s="77"/>
      <c r="G284" s="77"/>
      <c r="H284" s="79" t="n">
        <f aca="false">N(H283)+IFERROR(IF(AND($A284&lt;&gt;"",$E284&lt;&gt;"",$A284&gt;=IF(Search!$E$4="",0,Search!$E$4),$A284&lt;=IF(Search!$E$5="",99999,Search!$E$5),OR(Search!$E$6="",ISNUMBER(SEARCH(Search!$E$6,$C284))),OR(Search!$E$7="All",Search!$E$7="",$D284=Search!$E$7),OR(Search!$E$8="",Search!$E$9="",AND($B284&lt;&gt;"",MOD($B284,1)&gt;=Search!$E$8,MOD($B284,1)&lt;=Search!$E$9))),1,0),0)</f>
        <v>0</v>
      </c>
      <c r="I284" s="79" t="n">
        <f aca="false">IF(H284&gt;N(H283),$E284,0)</f>
        <v>0</v>
      </c>
      <c r="J284" s="79" t="n">
        <f aca="false">IFERROR(IF(AND($A284&lt;&gt;"",$E284&lt;&gt;"",$A284&gt;=PeriodStart,$A284&lt;=PeriodEnd),$E284+ROW()/1000000,0),0)</f>
        <v>0</v>
      </c>
    </row>
    <row r="285" customFormat="false" ht="15" hidden="false" customHeight="false" outlineLevel="0" collapsed="false">
      <c r="A285" s="75"/>
      <c r="B285" s="76"/>
      <c r="C285" s="77"/>
      <c r="D285" s="77"/>
      <c r="E285" s="78"/>
      <c r="F285" s="77"/>
      <c r="G285" s="77"/>
      <c r="H285" s="79" t="n">
        <f aca="false">N(H284)+IFERROR(IF(AND($A285&lt;&gt;"",$E285&lt;&gt;"",$A285&gt;=IF(Search!$E$4="",0,Search!$E$4),$A285&lt;=IF(Search!$E$5="",99999,Search!$E$5),OR(Search!$E$6="",ISNUMBER(SEARCH(Search!$E$6,$C285))),OR(Search!$E$7="All",Search!$E$7="",$D285=Search!$E$7),OR(Search!$E$8="",Search!$E$9="",AND($B285&lt;&gt;"",MOD($B285,1)&gt;=Search!$E$8,MOD($B285,1)&lt;=Search!$E$9))),1,0),0)</f>
        <v>0</v>
      </c>
      <c r="I285" s="79" t="n">
        <f aca="false">IF(H285&gt;N(H284),$E285,0)</f>
        <v>0</v>
      </c>
      <c r="J285" s="79" t="n">
        <f aca="false">IFERROR(IF(AND($A285&lt;&gt;"",$E285&lt;&gt;"",$A285&gt;=PeriodStart,$A285&lt;=PeriodEnd),$E285+ROW()/1000000,0),0)</f>
        <v>0</v>
      </c>
    </row>
    <row r="286" customFormat="false" ht="15" hidden="false" customHeight="false" outlineLevel="0" collapsed="false">
      <c r="A286" s="75"/>
      <c r="B286" s="76"/>
      <c r="C286" s="77"/>
      <c r="D286" s="77"/>
      <c r="E286" s="78"/>
      <c r="F286" s="77"/>
      <c r="G286" s="77"/>
      <c r="H286" s="79" t="n">
        <f aca="false">N(H285)+IFERROR(IF(AND($A286&lt;&gt;"",$E286&lt;&gt;"",$A286&gt;=IF(Search!$E$4="",0,Search!$E$4),$A286&lt;=IF(Search!$E$5="",99999,Search!$E$5),OR(Search!$E$6="",ISNUMBER(SEARCH(Search!$E$6,$C286))),OR(Search!$E$7="All",Search!$E$7="",$D286=Search!$E$7),OR(Search!$E$8="",Search!$E$9="",AND($B286&lt;&gt;"",MOD($B286,1)&gt;=Search!$E$8,MOD($B286,1)&lt;=Search!$E$9))),1,0),0)</f>
        <v>0</v>
      </c>
      <c r="I286" s="79" t="n">
        <f aca="false">IF(H286&gt;N(H285),$E286,0)</f>
        <v>0</v>
      </c>
      <c r="J286" s="79" t="n">
        <f aca="false">IFERROR(IF(AND($A286&lt;&gt;"",$E286&lt;&gt;"",$A286&gt;=PeriodStart,$A286&lt;=PeriodEnd),$E286+ROW()/1000000,0),0)</f>
        <v>0</v>
      </c>
    </row>
    <row r="287" customFormat="false" ht="15" hidden="false" customHeight="false" outlineLevel="0" collapsed="false">
      <c r="A287" s="75"/>
      <c r="B287" s="76"/>
      <c r="C287" s="77"/>
      <c r="D287" s="77"/>
      <c r="E287" s="78"/>
      <c r="F287" s="77"/>
      <c r="G287" s="77"/>
      <c r="H287" s="79" t="n">
        <f aca="false">N(H286)+IFERROR(IF(AND($A287&lt;&gt;"",$E287&lt;&gt;"",$A287&gt;=IF(Search!$E$4="",0,Search!$E$4),$A287&lt;=IF(Search!$E$5="",99999,Search!$E$5),OR(Search!$E$6="",ISNUMBER(SEARCH(Search!$E$6,$C287))),OR(Search!$E$7="All",Search!$E$7="",$D287=Search!$E$7),OR(Search!$E$8="",Search!$E$9="",AND($B287&lt;&gt;"",MOD($B287,1)&gt;=Search!$E$8,MOD($B287,1)&lt;=Search!$E$9))),1,0),0)</f>
        <v>0</v>
      </c>
      <c r="I287" s="79" t="n">
        <f aca="false">IF(H287&gt;N(H286),$E287,0)</f>
        <v>0</v>
      </c>
      <c r="J287" s="79" t="n">
        <f aca="false">IFERROR(IF(AND($A287&lt;&gt;"",$E287&lt;&gt;"",$A287&gt;=PeriodStart,$A287&lt;=PeriodEnd),$E287+ROW()/1000000,0),0)</f>
        <v>0</v>
      </c>
    </row>
    <row r="288" customFormat="false" ht="15" hidden="false" customHeight="false" outlineLevel="0" collapsed="false">
      <c r="A288" s="75"/>
      <c r="B288" s="76"/>
      <c r="C288" s="77"/>
      <c r="D288" s="77"/>
      <c r="E288" s="78"/>
      <c r="F288" s="77"/>
      <c r="G288" s="77"/>
      <c r="H288" s="79" t="n">
        <f aca="false">N(H287)+IFERROR(IF(AND($A288&lt;&gt;"",$E288&lt;&gt;"",$A288&gt;=IF(Search!$E$4="",0,Search!$E$4),$A288&lt;=IF(Search!$E$5="",99999,Search!$E$5),OR(Search!$E$6="",ISNUMBER(SEARCH(Search!$E$6,$C288))),OR(Search!$E$7="All",Search!$E$7="",$D288=Search!$E$7),OR(Search!$E$8="",Search!$E$9="",AND($B288&lt;&gt;"",MOD($B288,1)&gt;=Search!$E$8,MOD($B288,1)&lt;=Search!$E$9))),1,0),0)</f>
        <v>0</v>
      </c>
      <c r="I288" s="79" t="n">
        <f aca="false">IF(H288&gt;N(H287),$E288,0)</f>
        <v>0</v>
      </c>
      <c r="J288" s="79" t="n">
        <f aca="false">IFERROR(IF(AND($A288&lt;&gt;"",$E288&lt;&gt;"",$A288&gt;=PeriodStart,$A288&lt;=PeriodEnd),$E288+ROW()/1000000,0),0)</f>
        <v>0</v>
      </c>
    </row>
    <row r="289" customFormat="false" ht="15" hidden="false" customHeight="false" outlineLevel="0" collapsed="false">
      <c r="A289" s="75"/>
      <c r="B289" s="76"/>
      <c r="C289" s="77"/>
      <c r="D289" s="77"/>
      <c r="E289" s="78"/>
      <c r="F289" s="77"/>
      <c r="G289" s="77"/>
      <c r="H289" s="79" t="n">
        <f aca="false">N(H288)+IFERROR(IF(AND($A289&lt;&gt;"",$E289&lt;&gt;"",$A289&gt;=IF(Search!$E$4="",0,Search!$E$4),$A289&lt;=IF(Search!$E$5="",99999,Search!$E$5),OR(Search!$E$6="",ISNUMBER(SEARCH(Search!$E$6,$C289))),OR(Search!$E$7="All",Search!$E$7="",$D289=Search!$E$7),OR(Search!$E$8="",Search!$E$9="",AND($B289&lt;&gt;"",MOD($B289,1)&gt;=Search!$E$8,MOD($B289,1)&lt;=Search!$E$9))),1,0),0)</f>
        <v>0</v>
      </c>
      <c r="I289" s="79" t="n">
        <f aca="false">IF(H289&gt;N(H288),$E289,0)</f>
        <v>0</v>
      </c>
      <c r="J289" s="79" t="n">
        <f aca="false">IFERROR(IF(AND($A289&lt;&gt;"",$E289&lt;&gt;"",$A289&gt;=PeriodStart,$A289&lt;=PeriodEnd),$E289+ROW()/1000000,0),0)</f>
        <v>0</v>
      </c>
    </row>
    <row r="290" customFormat="false" ht="15" hidden="false" customHeight="false" outlineLevel="0" collapsed="false">
      <c r="A290" s="75"/>
      <c r="B290" s="76"/>
      <c r="C290" s="77"/>
      <c r="D290" s="77"/>
      <c r="E290" s="78"/>
      <c r="F290" s="77"/>
      <c r="G290" s="77"/>
      <c r="H290" s="79" t="n">
        <f aca="false">N(H289)+IFERROR(IF(AND($A290&lt;&gt;"",$E290&lt;&gt;"",$A290&gt;=IF(Search!$E$4="",0,Search!$E$4),$A290&lt;=IF(Search!$E$5="",99999,Search!$E$5),OR(Search!$E$6="",ISNUMBER(SEARCH(Search!$E$6,$C290))),OR(Search!$E$7="All",Search!$E$7="",$D290=Search!$E$7),OR(Search!$E$8="",Search!$E$9="",AND($B290&lt;&gt;"",MOD($B290,1)&gt;=Search!$E$8,MOD($B290,1)&lt;=Search!$E$9))),1,0),0)</f>
        <v>0</v>
      </c>
      <c r="I290" s="79" t="n">
        <f aca="false">IF(H290&gt;N(H289),$E290,0)</f>
        <v>0</v>
      </c>
      <c r="J290" s="79" t="n">
        <f aca="false">IFERROR(IF(AND($A290&lt;&gt;"",$E290&lt;&gt;"",$A290&gt;=PeriodStart,$A290&lt;=PeriodEnd),$E290+ROW()/1000000,0),0)</f>
        <v>0</v>
      </c>
    </row>
    <row r="291" customFormat="false" ht="15" hidden="false" customHeight="false" outlineLevel="0" collapsed="false">
      <c r="A291" s="75"/>
      <c r="B291" s="76"/>
      <c r="C291" s="77"/>
      <c r="D291" s="77"/>
      <c r="E291" s="78"/>
      <c r="F291" s="77"/>
      <c r="G291" s="77"/>
      <c r="H291" s="79" t="n">
        <f aca="false">N(H290)+IFERROR(IF(AND($A291&lt;&gt;"",$E291&lt;&gt;"",$A291&gt;=IF(Search!$E$4="",0,Search!$E$4),$A291&lt;=IF(Search!$E$5="",99999,Search!$E$5),OR(Search!$E$6="",ISNUMBER(SEARCH(Search!$E$6,$C291))),OR(Search!$E$7="All",Search!$E$7="",$D291=Search!$E$7),OR(Search!$E$8="",Search!$E$9="",AND($B291&lt;&gt;"",MOD($B291,1)&gt;=Search!$E$8,MOD($B291,1)&lt;=Search!$E$9))),1,0),0)</f>
        <v>0</v>
      </c>
      <c r="I291" s="79" t="n">
        <f aca="false">IF(H291&gt;N(H290),$E291,0)</f>
        <v>0</v>
      </c>
      <c r="J291" s="79" t="n">
        <f aca="false">IFERROR(IF(AND($A291&lt;&gt;"",$E291&lt;&gt;"",$A291&gt;=PeriodStart,$A291&lt;=PeriodEnd),$E291+ROW()/1000000,0),0)</f>
        <v>0</v>
      </c>
    </row>
    <row r="292" customFormat="false" ht="15" hidden="false" customHeight="false" outlineLevel="0" collapsed="false">
      <c r="A292" s="75"/>
      <c r="B292" s="76"/>
      <c r="C292" s="77"/>
      <c r="D292" s="77"/>
      <c r="E292" s="78"/>
      <c r="F292" s="77"/>
      <c r="G292" s="77"/>
      <c r="H292" s="79" t="n">
        <f aca="false">N(H291)+IFERROR(IF(AND($A292&lt;&gt;"",$E292&lt;&gt;"",$A292&gt;=IF(Search!$E$4="",0,Search!$E$4),$A292&lt;=IF(Search!$E$5="",99999,Search!$E$5),OR(Search!$E$6="",ISNUMBER(SEARCH(Search!$E$6,$C292))),OR(Search!$E$7="All",Search!$E$7="",$D292=Search!$E$7),OR(Search!$E$8="",Search!$E$9="",AND($B292&lt;&gt;"",MOD($B292,1)&gt;=Search!$E$8,MOD($B292,1)&lt;=Search!$E$9))),1,0),0)</f>
        <v>0</v>
      </c>
      <c r="I292" s="79" t="n">
        <f aca="false">IF(H292&gt;N(H291),$E292,0)</f>
        <v>0</v>
      </c>
      <c r="J292" s="79" t="n">
        <f aca="false">IFERROR(IF(AND($A292&lt;&gt;"",$E292&lt;&gt;"",$A292&gt;=PeriodStart,$A292&lt;=PeriodEnd),$E292+ROW()/1000000,0),0)</f>
        <v>0</v>
      </c>
    </row>
    <row r="293" customFormat="false" ht="15" hidden="false" customHeight="false" outlineLevel="0" collapsed="false">
      <c r="A293" s="75"/>
      <c r="B293" s="76"/>
      <c r="C293" s="77"/>
      <c r="D293" s="77"/>
      <c r="E293" s="78"/>
      <c r="F293" s="77"/>
      <c r="G293" s="77"/>
      <c r="H293" s="79" t="n">
        <f aca="false">N(H292)+IFERROR(IF(AND($A293&lt;&gt;"",$E293&lt;&gt;"",$A293&gt;=IF(Search!$E$4="",0,Search!$E$4),$A293&lt;=IF(Search!$E$5="",99999,Search!$E$5),OR(Search!$E$6="",ISNUMBER(SEARCH(Search!$E$6,$C293))),OR(Search!$E$7="All",Search!$E$7="",$D293=Search!$E$7),OR(Search!$E$8="",Search!$E$9="",AND($B293&lt;&gt;"",MOD($B293,1)&gt;=Search!$E$8,MOD($B293,1)&lt;=Search!$E$9))),1,0),0)</f>
        <v>0</v>
      </c>
      <c r="I293" s="79" t="n">
        <f aca="false">IF(H293&gt;N(H292),$E293,0)</f>
        <v>0</v>
      </c>
      <c r="J293" s="79" t="n">
        <f aca="false">IFERROR(IF(AND($A293&lt;&gt;"",$E293&lt;&gt;"",$A293&gt;=PeriodStart,$A293&lt;=PeriodEnd),$E293+ROW()/1000000,0),0)</f>
        <v>0</v>
      </c>
    </row>
    <row r="294" customFormat="false" ht="15" hidden="false" customHeight="false" outlineLevel="0" collapsed="false">
      <c r="A294" s="75"/>
      <c r="B294" s="76"/>
      <c r="C294" s="77"/>
      <c r="D294" s="77"/>
      <c r="E294" s="78"/>
      <c r="F294" s="77"/>
      <c r="G294" s="77"/>
      <c r="H294" s="79" t="n">
        <f aca="false">N(H293)+IFERROR(IF(AND($A294&lt;&gt;"",$E294&lt;&gt;"",$A294&gt;=IF(Search!$E$4="",0,Search!$E$4),$A294&lt;=IF(Search!$E$5="",99999,Search!$E$5),OR(Search!$E$6="",ISNUMBER(SEARCH(Search!$E$6,$C294))),OR(Search!$E$7="All",Search!$E$7="",$D294=Search!$E$7),OR(Search!$E$8="",Search!$E$9="",AND($B294&lt;&gt;"",MOD($B294,1)&gt;=Search!$E$8,MOD($B294,1)&lt;=Search!$E$9))),1,0),0)</f>
        <v>0</v>
      </c>
      <c r="I294" s="79" t="n">
        <f aca="false">IF(H294&gt;N(H293),$E294,0)</f>
        <v>0</v>
      </c>
      <c r="J294" s="79" t="n">
        <f aca="false">IFERROR(IF(AND($A294&lt;&gt;"",$E294&lt;&gt;"",$A294&gt;=PeriodStart,$A294&lt;=PeriodEnd),$E294+ROW()/1000000,0),0)</f>
        <v>0</v>
      </c>
    </row>
    <row r="295" customFormat="false" ht="15" hidden="false" customHeight="false" outlineLevel="0" collapsed="false">
      <c r="A295" s="75"/>
      <c r="B295" s="76"/>
      <c r="C295" s="77"/>
      <c r="D295" s="77"/>
      <c r="E295" s="78"/>
      <c r="F295" s="77"/>
      <c r="G295" s="77"/>
      <c r="H295" s="79" t="n">
        <f aca="false">N(H294)+IFERROR(IF(AND($A295&lt;&gt;"",$E295&lt;&gt;"",$A295&gt;=IF(Search!$E$4="",0,Search!$E$4),$A295&lt;=IF(Search!$E$5="",99999,Search!$E$5),OR(Search!$E$6="",ISNUMBER(SEARCH(Search!$E$6,$C295))),OR(Search!$E$7="All",Search!$E$7="",$D295=Search!$E$7),OR(Search!$E$8="",Search!$E$9="",AND($B295&lt;&gt;"",MOD($B295,1)&gt;=Search!$E$8,MOD($B295,1)&lt;=Search!$E$9))),1,0),0)</f>
        <v>0</v>
      </c>
      <c r="I295" s="79" t="n">
        <f aca="false">IF(H295&gt;N(H294),$E295,0)</f>
        <v>0</v>
      </c>
      <c r="J295" s="79" t="n">
        <f aca="false">IFERROR(IF(AND($A295&lt;&gt;"",$E295&lt;&gt;"",$A295&gt;=PeriodStart,$A295&lt;=PeriodEnd),$E295+ROW()/1000000,0),0)</f>
        <v>0</v>
      </c>
    </row>
    <row r="296" customFormat="false" ht="15" hidden="false" customHeight="false" outlineLevel="0" collapsed="false">
      <c r="A296" s="75"/>
      <c r="B296" s="76"/>
      <c r="C296" s="77"/>
      <c r="D296" s="77"/>
      <c r="E296" s="78"/>
      <c r="F296" s="77"/>
      <c r="G296" s="77"/>
      <c r="H296" s="79" t="n">
        <f aca="false">N(H295)+IFERROR(IF(AND($A296&lt;&gt;"",$E296&lt;&gt;"",$A296&gt;=IF(Search!$E$4="",0,Search!$E$4),$A296&lt;=IF(Search!$E$5="",99999,Search!$E$5),OR(Search!$E$6="",ISNUMBER(SEARCH(Search!$E$6,$C296))),OR(Search!$E$7="All",Search!$E$7="",$D296=Search!$E$7),OR(Search!$E$8="",Search!$E$9="",AND($B296&lt;&gt;"",MOD($B296,1)&gt;=Search!$E$8,MOD($B296,1)&lt;=Search!$E$9))),1,0),0)</f>
        <v>0</v>
      </c>
      <c r="I296" s="79" t="n">
        <f aca="false">IF(H296&gt;N(H295),$E296,0)</f>
        <v>0</v>
      </c>
      <c r="J296" s="79" t="n">
        <f aca="false">IFERROR(IF(AND($A296&lt;&gt;"",$E296&lt;&gt;"",$A296&gt;=PeriodStart,$A296&lt;=PeriodEnd),$E296+ROW()/1000000,0),0)</f>
        <v>0</v>
      </c>
    </row>
    <row r="297" customFormat="false" ht="15" hidden="false" customHeight="false" outlineLevel="0" collapsed="false">
      <c r="A297" s="75"/>
      <c r="B297" s="76"/>
      <c r="C297" s="77"/>
      <c r="D297" s="77"/>
      <c r="E297" s="78"/>
      <c r="F297" s="77"/>
      <c r="G297" s="77"/>
      <c r="H297" s="79" t="n">
        <f aca="false">N(H296)+IFERROR(IF(AND($A297&lt;&gt;"",$E297&lt;&gt;"",$A297&gt;=IF(Search!$E$4="",0,Search!$E$4),$A297&lt;=IF(Search!$E$5="",99999,Search!$E$5),OR(Search!$E$6="",ISNUMBER(SEARCH(Search!$E$6,$C297))),OR(Search!$E$7="All",Search!$E$7="",$D297=Search!$E$7),OR(Search!$E$8="",Search!$E$9="",AND($B297&lt;&gt;"",MOD($B297,1)&gt;=Search!$E$8,MOD($B297,1)&lt;=Search!$E$9))),1,0),0)</f>
        <v>0</v>
      </c>
      <c r="I297" s="79" t="n">
        <f aca="false">IF(H297&gt;N(H296),$E297,0)</f>
        <v>0</v>
      </c>
      <c r="J297" s="79" t="n">
        <f aca="false">IFERROR(IF(AND($A297&lt;&gt;"",$E297&lt;&gt;"",$A297&gt;=PeriodStart,$A297&lt;=PeriodEnd),$E297+ROW()/1000000,0),0)</f>
        <v>0</v>
      </c>
    </row>
    <row r="298" customFormat="false" ht="15" hidden="false" customHeight="false" outlineLevel="0" collapsed="false">
      <c r="A298" s="75"/>
      <c r="B298" s="76"/>
      <c r="C298" s="77"/>
      <c r="D298" s="77"/>
      <c r="E298" s="78"/>
      <c r="F298" s="77"/>
      <c r="G298" s="77"/>
      <c r="H298" s="79" t="n">
        <f aca="false">N(H297)+IFERROR(IF(AND($A298&lt;&gt;"",$E298&lt;&gt;"",$A298&gt;=IF(Search!$E$4="",0,Search!$E$4),$A298&lt;=IF(Search!$E$5="",99999,Search!$E$5),OR(Search!$E$6="",ISNUMBER(SEARCH(Search!$E$6,$C298))),OR(Search!$E$7="All",Search!$E$7="",$D298=Search!$E$7),OR(Search!$E$8="",Search!$E$9="",AND($B298&lt;&gt;"",MOD($B298,1)&gt;=Search!$E$8,MOD($B298,1)&lt;=Search!$E$9))),1,0),0)</f>
        <v>0</v>
      </c>
      <c r="I298" s="79" t="n">
        <f aca="false">IF(H298&gt;N(H297),$E298,0)</f>
        <v>0</v>
      </c>
      <c r="J298" s="79" t="n">
        <f aca="false">IFERROR(IF(AND($A298&lt;&gt;"",$E298&lt;&gt;"",$A298&gt;=PeriodStart,$A298&lt;=PeriodEnd),$E298+ROW()/1000000,0),0)</f>
        <v>0</v>
      </c>
    </row>
    <row r="299" customFormat="false" ht="15" hidden="false" customHeight="false" outlineLevel="0" collapsed="false">
      <c r="A299" s="75"/>
      <c r="B299" s="76"/>
      <c r="C299" s="77"/>
      <c r="D299" s="77"/>
      <c r="E299" s="78"/>
      <c r="F299" s="77"/>
      <c r="G299" s="77"/>
      <c r="H299" s="79" t="n">
        <f aca="false">N(H298)+IFERROR(IF(AND($A299&lt;&gt;"",$E299&lt;&gt;"",$A299&gt;=IF(Search!$E$4="",0,Search!$E$4),$A299&lt;=IF(Search!$E$5="",99999,Search!$E$5),OR(Search!$E$6="",ISNUMBER(SEARCH(Search!$E$6,$C299))),OR(Search!$E$7="All",Search!$E$7="",$D299=Search!$E$7),OR(Search!$E$8="",Search!$E$9="",AND($B299&lt;&gt;"",MOD($B299,1)&gt;=Search!$E$8,MOD($B299,1)&lt;=Search!$E$9))),1,0),0)</f>
        <v>0</v>
      </c>
      <c r="I299" s="79" t="n">
        <f aca="false">IF(H299&gt;N(H298),$E299,0)</f>
        <v>0</v>
      </c>
      <c r="J299" s="79" t="n">
        <f aca="false">IFERROR(IF(AND($A299&lt;&gt;"",$E299&lt;&gt;"",$A299&gt;=PeriodStart,$A299&lt;=PeriodEnd),$E299+ROW()/1000000,0),0)</f>
        <v>0</v>
      </c>
    </row>
    <row r="300" customFormat="false" ht="15" hidden="false" customHeight="false" outlineLevel="0" collapsed="false">
      <c r="A300" s="75"/>
      <c r="B300" s="76"/>
      <c r="C300" s="77"/>
      <c r="D300" s="77"/>
      <c r="E300" s="78"/>
      <c r="F300" s="77"/>
      <c r="G300" s="77"/>
      <c r="H300" s="79" t="n">
        <f aca="false">N(H299)+IFERROR(IF(AND($A300&lt;&gt;"",$E300&lt;&gt;"",$A300&gt;=IF(Search!$E$4="",0,Search!$E$4),$A300&lt;=IF(Search!$E$5="",99999,Search!$E$5),OR(Search!$E$6="",ISNUMBER(SEARCH(Search!$E$6,$C300))),OR(Search!$E$7="All",Search!$E$7="",$D300=Search!$E$7),OR(Search!$E$8="",Search!$E$9="",AND($B300&lt;&gt;"",MOD($B300,1)&gt;=Search!$E$8,MOD($B300,1)&lt;=Search!$E$9))),1,0),0)</f>
        <v>0</v>
      </c>
      <c r="I300" s="79" t="n">
        <f aca="false">IF(H300&gt;N(H299),$E300,0)</f>
        <v>0</v>
      </c>
      <c r="J300" s="79" t="n">
        <f aca="false">IFERROR(IF(AND($A300&lt;&gt;"",$E300&lt;&gt;"",$A300&gt;=PeriodStart,$A300&lt;=PeriodEnd),$E300+ROW()/1000000,0),0)</f>
        <v>0</v>
      </c>
    </row>
    <row r="301" customFormat="false" ht="15" hidden="false" customHeight="false" outlineLevel="0" collapsed="false">
      <c r="A301" s="75"/>
      <c r="B301" s="76"/>
      <c r="C301" s="77"/>
      <c r="D301" s="77"/>
      <c r="E301" s="78"/>
      <c r="F301" s="77"/>
      <c r="G301" s="77"/>
      <c r="H301" s="79" t="n">
        <f aca="false">N(H300)+IFERROR(IF(AND($A301&lt;&gt;"",$E301&lt;&gt;"",$A301&gt;=IF(Search!$E$4="",0,Search!$E$4),$A301&lt;=IF(Search!$E$5="",99999,Search!$E$5),OR(Search!$E$6="",ISNUMBER(SEARCH(Search!$E$6,$C301))),OR(Search!$E$7="All",Search!$E$7="",$D301=Search!$E$7),OR(Search!$E$8="",Search!$E$9="",AND($B301&lt;&gt;"",MOD($B301,1)&gt;=Search!$E$8,MOD($B301,1)&lt;=Search!$E$9))),1,0),0)</f>
        <v>0</v>
      </c>
      <c r="I301" s="79" t="n">
        <f aca="false">IF(H301&gt;N(H300),$E301,0)</f>
        <v>0</v>
      </c>
      <c r="J301" s="79" t="n">
        <f aca="false">IFERROR(IF(AND($A301&lt;&gt;"",$E301&lt;&gt;"",$A301&gt;=PeriodStart,$A301&lt;=PeriodEnd),$E301+ROW()/1000000,0),0)</f>
        <v>0</v>
      </c>
    </row>
    <row r="302" customFormat="false" ht="15" hidden="false" customHeight="false" outlineLevel="0" collapsed="false">
      <c r="A302" s="75"/>
      <c r="B302" s="76"/>
      <c r="C302" s="77"/>
      <c r="D302" s="77"/>
      <c r="E302" s="78"/>
      <c r="F302" s="77"/>
      <c r="G302" s="77"/>
      <c r="H302" s="79" t="n">
        <f aca="false">N(H301)+IFERROR(IF(AND($A302&lt;&gt;"",$E302&lt;&gt;"",$A302&gt;=IF(Search!$E$4="",0,Search!$E$4),$A302&lt;=IF(Search!$E$5="",99999,Search!$E$5),OR(Search!$E$6="",ISNUMBER(SEARCH(Search!$E$6,$C302))),OR(Search!$E$7="All",Search!$E$7="",$D302=Search!$E$7),OR(Search!$E$8="",Search!$E$9="",AND($B302&lt;&gt;"",MOD($B302,1)&gt;=Search!$E$8,MOD($B302,1)&lt;=Search!$E$9))),1,0),0)</f>
        <v>0</v>
      </c>
      <c r="I302" s="79" t="n">
        <f aca="false">IF(H302&gt;N(H301),$E302,0)</f>
        <v>0</v>
      </c>
      <c r="J302" s="79" t="n">
        <f aca="false">IFERROR(IF(AND($A302&lt;&gt;"",$E302&lt;&gt;"",$A302&gt;=PeriodStart,$A302&lt;=PeriodEnd),$E302+ROW()/1000000,0),0)</f>
        <v>0</v>
      </c>
    </row>
    <row r="303" customFormat="false" ht="15" hidden="false" customHeight="false" outlineLevel="0" collapsed="false">
      <c r="A303" s="75"/>
      <c r="B303" s="76"/>
      <c r="C303" s="77"/>
      <c r="D303" s="77"/>
      <c r="E303" s="78"/>
      <c r="F303" s="77"/>
      <c r="G303" s="77"/>
      <c r="H303" s="79" t="n">
        <f aca="false">N(H302)+IFERROR(IF(AND($A303&lt;&gt;"",$E303&lt;&gt;"",$A303&gt;=IF(Search!$E$4="",0,Search!$E$4),$A303&lt;=IF(Search!$E$5="",99999,Search!$E$5),OR(Search!$E$6="",ISNUMBER(SEARCH(Search!$E$6,$C303))),OR(Search!$E$7="All",Search!$E$7="",$D303=Search!$E$7),OR(Search!$E$8="",Search!$E$9="",AND($B303&lt;&gt;"",MOD($B303,1)&gt;=Search!$E$8,MOD($B303,1)&lt;=Search!$E$9))),1,0),0)</f>
        <v>0</v>
      </c>
      <c r="I303" s="79" t="n">
        <f aca="false">IF(H303&gt;N(H302),$E303,0)</f>
        <v>0</v>
      </c>
      <c r="J303" s="79" t="n">
        <f aca="false">IFERROR(IF(AND($A303&lt;&gt;"",$E303&lt;&gt;"",$A303&gt;=PeriodStart,$A303&lt;=PeriodEnd),$E303+ROW()/1000000,0),0)</f>
        <v>0</v>
      </c>
    </row>
    <row r="304" customFormat="false" ht="15" hidden="false" customHeight="false" outlineLevel="0" collapsed="false">
      <c r="A304" s="75"/>
      <c r="B304" s="76"/>
      <c r="C304" s="77"/>
      <c r="D304" s="77"/>
      <c r="E304" s="78"/>
      <c r="F304" s="77"/>
      <c r="G304" s="77"/>
      <c r="H304" s="79" t="n">
        <f aca="false">N(H303)+IFERROR(IF(AND($A304&lt;&gt;"",$E304&lt;&gt;"",$A304&gt;=IF(Search!$E$4="",0,Search!$E$4),$A304&lt;=IF(Search!$E$5="",99999,Search!$E$5),OR(Search!$E$6="",ISNUMBER(SEARCH(Search!$E$6,$C304))),OR(Search!$E$7="All",Search!$E$7="",$D304=Search!$E$7),OR(Search!$E$8="",Search!$E$9="",AND($B304&lt;&gt;"",MOD($B304,1)&gt;=Search!$E$8,MOD($B304,1)&lt;=Search!$E$9))),1,0),0)</f>
        <v>0</v>
      </c>
      <c r="I304" s="79" t="n">
        <f aca="false">IF(H304&gt;N(H303),$E304,0)</f>
        <v>0</v>
      </c>
      <c r="J304" s="79" t="n">
        <f aca="false">IFERROR(IF(AND($A304&lt;&gt;"",$E304&lt;&gt;"",$A304&gt;=PeriodStart,$A304&lt;=PeriodEnd),$E304+ROW()/1000000,0),0)</f>
        <v>0</v>
      </c>
    </row>
    <row r="305" customFormat="false" ht="15" hidden="false" customHeight="false" outlineLevel="0" collapsed="false">
      <c r="A305" s="75"/>
      <c r="B305" s="76"/>
      <c r="C305" s="77"/>
      <c r="D305" s="77"/>
      <c r="E305" s="78"/>
      <c r="F305" s="77"/>
      <c r="G305" s="77"/>
      <c r="H305" s="79" t="n">
        <f aca="false">N(H304)+IFERROR(IF(AND($A305&lt;&gt;"",$E305&lt;&gt;"",$A305&gt;=IF(Search!$E$4="",0,Search!$E$4),$A305&lt;=IF(Search!$E$5="",99999,Search!$E$5),OR(Search!$E$6="",ISNUMBER(SEARCH(Search!$E$6,$C305))),OR(Search!$E$7="All",Search!$E$7="",$D305=Search!$E$7),OR(Search!$E$8="",Search!$E$9="",AND($B305&lt;&gt;"",MOD($B305,1)&gt;=Search!$E$8,MOD($B305,1)&lt;=Search!$E$9))),1,0),0)</f>
        <v>0</v>
      </c>
      <c r="I305" s="79" t="n">
        <f aca="false">IF(H305&gt;N(H304),$E305,0)</f>
        <v>0</v>
      </c>
      <c r="J305" s="79" t="n">
        <f aca="false">IFERROR(IF(AND($A305&lt;&gt;"",$E305&lt;&gt;"",$A305&gt;=PeriodStart,$A305&lt;=PeriodEnd),$E305+ROW()/1000000,0),0)</f>
        <v>0</v>
      </c>
    </row>
    <row r="306" customFormat="false" ht="15" hidden="false" customHeight="false" outlineLevel="0" collapsed="false">
      <c r="A306" s="75"/>
      <c r="B306" s="76"/>
      <c r="C306" s="77"/>
      <c r="D306" s="77"/>
      <c r="E306" s="78"/>
      <c r="F306" s="77"/>
      <c r="G306" s="77"/>
      <c r="H306" s="79" t="n">
        <f aca="false">N(H305)+IFERROR(IF(AND($A306&lt;&gt;"",$E306&lt;&gt;"",$A306&gt;=IF(Search!$E$4="",0,Search!$E$4),$A306&lt;=IF(Search!$E$5="",99999,Search!$E$5),OR(Search!$E$6="",ISNUMBER(SEARCH(Search!$E$6,$C306))),OR(Search!$E$7="All",Search!$E$7="",$D306=Search!$E$7),OR(Search!$E$8="",Search!$E$9="",AND($B306&lt;&gt;"",MOD($B306,1)&gt;=Search!$E$8,MOD($B306,1)&lt;=Search!$E$9))),1,0),0)</f>
        <v>0</v>
      </c>
      <c r="I306" s="79" t="n">
        <f aca="false">IF(H306&gt;N(H305),$E306,0)</f>
        <v>0</v>
      </c>
      <c r="J306" s="79" t="n">
        <f aca="false">IFERROR(IF(AND($A306&lt;&gt;"",$E306&lt;&gt;"",$A306&gt;=PeriodStart,$A306&lt;=PeriodEnd),$E306+ROW()/1000000,0),0)</f>
        <v>0</v>
      </c>
    </row>
    <row r="307" customFormat="false" ht="15" hidden="false" customHeight="false" outlineLevel="0" collapsed="false">
      <c r="A307" s="75"/>
      <c r="B307" s="76"/>
      <c r="C307" s="77"/>
      <c r="D307" s="77"/>
      <c r="E307" s="78"/>
      <c r="F307" s="77"/>
      <c r="G307" s="77"/>
      <c r="H307" s="79" t="n">
        <f aca="false">N(H306)+IFERROR(IF(AND($A307&lt;&gt;"",$E307&lt;&gt;"",$A307&gt;=IF(Search!$E$4="",0,Search!$E$4),$A307&lt;=IF(Search!$E$5="",99999,Search!$E$5),OR(Search!$E$6="",ISNUMBER(SEARCH(Search!$E$6,$C307))),OR(Search!$E$7="All",Search!$E$7="",$D307=Search!$E$7),OR(Search!$E$8="",Search!$E$9="",AND($B307&lt;&gt;"",MOD($B307,1)&gt;=Search!$E$8,MOD($B307,1)&lt;=Search!$E$9))),1,0),0)</f>
        <v>0</v>
      </c>
      <c r="I307" s="79" t="n">
        <f aca="false">IF(H307&gt;N(H306),$E307,0)</f>
        <v>0</v>
      </c>
      <c r="J307" s="79" t="n">
        <f aca="false">IFERROR(IF(AND($A307&lt;&gt;"",$E307&lt;&gt;"",$A307&gt;=PeriodStart,$A307&lt;=PeriodEnd),$E307+ROW()/1000000,0),0)</f>
        <v>0</v>
      </c>
    </row>
    <row r="308" customFormat="false" ht="15" hidden="false" customHeight="false" outlineLevel="0" collapsed="false">
      <c r="A308" s="75"/>
      <c r="B308" s="76"/>
      <c r="C308" s="77"/>
      <c r="D308" s="77"/>
      <c r="E308" s="78"/>
      <c r="F308" s="77"/>
      <c r="G308" s="77"/>
      <c r="H308" s="79" t="n">
        <f aca="false">N(H307)+IFERROR(IF(AND($A308&lt;&gt;"",$E308&lt;&gt;"",$A308&gt;=IF(Search!$E$4="",0,Search!$E$4),$A308&lt;=IF(Search!$E$5="",99999,Search!$E$5),OR(Search!$E$6="",ISNUMBER(SEARCH(Search!$E$6,$C308))),OR(Search!$E$7="All",Search!$E$7="",$D308=Search!$E$7),OR(Search!$E$8="",Search!$E$9="",AND($B308&lt;&gt;"",MOD($B308,1)&gt;=Search!$E$8,MOD($B308,1)&lt;=Search!$E$9))),1,0),0)</f>
        <v>0</v>
      </c>
      <c r="I308" s="79" t="n">
        <f aca="false">IF(H308&gt;N(H307),$E308,0)</f>
        <v>0</v>
      </c>
      <c r="J308" s="79" t="n">
        <f aca="false">IFERROR(IF(AND($A308&lt;&gt;"",$E308&lt;&gt;"",$A308&gt;=PeriodStart,$A308&lt;=PeriodEnd),$E308+ROW()/1000000,0),0)</f>
        <v>0</v>
      </c>
    </row>
    <row r="309" customFormat="false" ht="15" hidden="false" customHeight="false" outlineLevel="0" collapsed="false">
      <c r="A309" s="75"/>
      <c r="B309" s="76"/>
      <c r="C309" s="77"/>
      <c r="D309" s="77"/>
      <c r="E309" s="78"/>
      <c r="F309" s="77"/>
      <c r="G309" s="77"/>
      <c r="H309" s="79" t="n">
        <f aca="false">N(H308)+IFERROR(IF(AND($A309&lt;&gt;"",$E309&lt;&gt;"",$A309&gt;=IF(Search!$E$4="",0,Search!$E$4),$A309&lt;=IF(Search!$E$5="",99999,Search!$E$5),OR(Search!$E$6="",ISNUMBER(SEARCH(Search!$E$6,$C309))),OR(Search!$E$7="All",Search!$E$7="",$D309=Search!$E$7),OR(Search!$E$8="",Search!$E$9="",AND($B309&lt;&gt;"",MOD($B309,1)&gt;=Search!$E$8,MOD($B309,1)&lt;=Search!$E$9))),1,0),0)</f>
        <v>0</v>
      </c>
      <c r="I309" s="79" t="n">
        <f aca="false">IF(H309&gt;N(H308),$E309,0)</f>
        <v>0</v>
      </c>
      <c r="J309" s="79" t="n">
        <f aca="false">IFERROR(IF(AND($A309&lt;&gt;"",$E309&lt;&gt;"",$A309&gt;=PeriodStart,$A309&lt;=PeriodEnd),$E309+ROW()/1000000,0),0)</f>
        <v>0</v>
      </c>
    </row>
    <row r="310" customFormat="false" ht="15" hidden="false" customHeight="false" outlineLevel="0" collapsed="false">
      <c r="A310" s="75"/>
      <c r="B310" s="76"/>
      <c r="C310" s="77"/>
      <c r="D310" s="77"/>
      <c r="E310" s="78"/>
      <c r="F310" s="77"/>
      <c r="G310" s="77"/>
      <c r="H310" s="79" t="n">
        <f aca="false">N(H309)+IFERROR(IF(AND($A310&lt;&gt;"",$E310&lt;&gt;"",$A310&gt;=IF(Search!$E$4="",0,Search!$E$4),$A310&lt;=IF(Search!$E$5="",99999,Search!$E$5),OR(Search!$E$6="",ISNUMBER(SEARCH(Search!$E$6,$C310))),OR(Search!$E$7="All",Search!$E$7="",$D310=Search!$E$7),OR(Search!$E$8="",Search!$E$9="",AND($B310&lt;&gt;"",MOD($B310,1)&gt;=Search!$E$8,MOD($B310,1)&lt;=Search!$E$9))),1,0),0)</f>
        <v>0</v>
      </c>
      <c r="I310" s="79" t="n">
        <f aca="false">IF(H310&gt;N(H309),$E310,0)</f>
        <v>0</v>
      </c>
      <c r="J310" s="79" t="n">
        <f aca="false">IFERROR(IF(AND($A310&lt;&gt;"",$E310&lt;&gt;"",$A310&gt;=PeriodStart,$A310&lt;=PeriodEnd),$E310+ROW()/1000000,0),0)</f>
        <v>0</v>
      </c>
    </row>
    <row r="311" customFormat="false" ht="15" hidden="false" customHeight="false" outlineLevel="0" collapsed="false">
      <c r="A311" s="75"/>
      <c r="B311" s="76"/>
      <c r="C311" s="77"/>
      <c r="D311" s="77"/>
      <c r="E311" s="78"/>
      <c r="F311" s="77"/>
      <c r="G311" s="77"/>
      <c r="H311" s="79" t="n">
        <f aca="false">N(H310)+IFERROR(IF(AND($A311&lt;&gt;"",$E311&lt;&gt;"",$A311&gt;=IF(Search!$E$4="",0,Search!$E$4),$A311&lt;=IF(Search!$E$5="",99999,Search!$E$5),OR(Search!$E$6="",ISNUMBER(SEARCH(Search!$E$6,$C311))),OR(Search!$E$7="All",Search!$E$7="",$D311=Search!$E$7),OR(Search!$E$8="",Search!$E$9="",AND($B311&lt;&gt;"",MOD($B311,1)&gt;=Search!$E$8,MOD($B311,1)&lt;=Search!$E$9))),1,0),0)</f>
        <v>0</v>
      </c>
      <c r="I311" s="79" t="n">
        <f aca="false">IF(H311&gt;N(H310),$E311,0)</f>
        <v>0</v>
      </c>
      <c r="J311" s="79" t="n">
        <f aca="false">IFERROR(IF(AND($A311&lt;&gt;"",$E311&lt;&gt;"",$A311&gt;=PeriodStart,$A311&lt;=PeriodEnd),$E311+ROW()/1000000,0),0)</f>
        <v>0</v>
      </c>
    </row>
    <row r="312" customFormat="false" ht="15" hidden="false" customHeight="false" outlineLevel="0" collapsed="false">
      <c r="A312" s="75"/>
      <c r="B312" s="76"/>
      <c r="C312" s="77"/>
      <c r="D312" s="77"/>
      <c r="E312" s="78"/>
      <c r="F312" s="77"/>
      <c r="G312" s="77"/>
      <c r="H312" s="79" t="n">
        <f aca="false">N(H311)+IFERROR(IF(AND($A312&lt;&gt;"",$E312&lt;&gt;"",$A312&gt;=IF(Search!$E$4="",0,Search!$E$4),$A312&lt;=IF(Search!$E$5="",99999,Search!$E$5),OR(Search!$E$6="",ISNUMBER(SEARCH(Search!$E$6,$C312))),OR(Search!$E$7="All",Search!$E$7="",$D312=Search!$E$7),OR(Search!$E$8="",Search!$E$9="",AND($B312&lt;&gt;"",MOD($B312,1)&gt;=Search!$E$8,MOD($B312,1)&lt;=Search!$E$9))),1,0),0)</f>
        <v>0</v>
      </c>
      <c r="I312" s="79" t="n">
        <f aca="false">IF(H312&gt;N(H311),$E312,0)</f>
        <v>0</v>
      </c>
      <c r="J312" s="79" t="n">
        <f aca="false">IFERROR(IF(AND($A312&lt;&gt;"",$E312&lt;&gt;"",$A312&gt;=PeriodStart,$A312&lt;=PeriodEnd),$E312+ROW()/1000000,0),0)</f>
        <v>0</v>
      </c>
    </row>
    <row r="313" customFormat="false" ht="15" hidden="false" customHeight="false" outlineLevel="0" collapsed="false">
      <c r="A313" s="75"/>
      <c r="B313" s="76"/>
      <c r="C313" s="77"/>
      <c r="D313" s="77"/>
      <c r="E313" s="78"/>
      <c r="F313" s="77"/>
      <c r="G313" s="77"/>
      <c r="H313" s="79" t="n">
        <f aca="false">N(H312)+IFERROR(IF(AND($A313&lt;&gt;"",$E313&lt;&gt;"",$A313&gt;=IF(Search!$E$4="",0,Search!$E$4),$A313&lt;=IF(Search!$E$5="",99999,Search!$E$5),OR(Search!$E$6="",ISNUMBER(SEARCH(Search!$E$6,$C313))),OR(Search!$E$7="All",Search!$E$7="",$D313=Search!$E$7),OR(Search!$E$8="",Search!$E$9="",AND($B313&lt;&gt;"",MOD($B313,1)&gt;=Search!$E$8,MOD($B313,1)&lt;=Search!$E$9))),1,0),0)</f>
        <v>0</v>
      </c>
      <c r="I313" s="79" t="n">
        <f aca="false">IF(H313&gt;N(H312),$E313,0)</f>
        <v>0</v>
      </c>
      <c r="J313" s="79" t="n">
        <f aca="false">IFERROR(IF(AND($A313&lt;&gt;"",$E313&lt;&gt;"",$A313&gt;=PeriodStart,$A313&lt;=PeriodEnd),$E313+ROW()/1000000,0),0)</f>
        <v>0</v>
      </c>
    </row>
    <row r="314" customFormat="false" ht="15" hidden="false" customHeight="false" outlineLevel="0" collapsed="false">
      <c r="A314" s="75"/>
      <c r="B314" s="76"/>
      <c r="C314" s="77"/>
      <c r="D314" s="77"/>
      <c r="E314" s="78"/>
      <c r="F314" s="77"/>
      <c r="G314" s="77"/>
      <c r="H314" s="79" t="n">
        <f aca="false">N(H313)+IFERROR(IF(AND($A314&lt;&gt;"",$E314&lt;&gt;"",$A314&gt;=IF(Search!$E$4="",0,Search!$E$4),$A314&lt;=IF(Search!$E$5="",99999,Search!$E$5),OR(Search!$E$6="",ISNUMBER(SEARCH(Search!$E$6,$C314))),OR(Search!$E$7="All",Search!$E$7="",$D314=Search!$E$7),OR(Search!$E$8="",Search!$E$9="",AND($B314&lt;&gt;"",MOD($B314,1)&gt;=Search!$E$8,MOD($B314,1)&lt;=Search!$E$9))),1,0),0)</f>
        <v>0</v>
      </c>
      <c r="I314" s="79" t="n">
        <f aca="false">IF(H314&gt;N(H313),$E314,0)</f>
        <v>0</v>
      </c>
      <c r="J314" s="79" t="n">
        <f aca="false">IFERROR(IF(AND($A314&lt;&gt;"",$E314&lt;&gt;"",$A314&gt;=PeriodStart,$A314&lt;=PeriodEnd),$E314+ROW()/1000000,0),0)</f>
        <v>0</v>
      </c>
    </row>
    <row r="315" customFormat="false" ht="15" hidden="false" customHeight="false" outlineLevel="0" collapsed="false">
      <c r="A315" s="75"/>
      <c r="B315" s="76"/>
      <c r="C315" s="77"/>
      <c r="D315" s="77"/>
      <c r="E315" s="78"/>
      <c r="F315" s="77"/>
      <c r="G315" s="77"/>
      <c r="H315" s="79" t="n">
        <f aca="false">N(H314)+IFERROR(IF(AND($A315&lt;&gt;"",$E315&lt;&gt;"",$A315&gt;=IF(Search!$E$4="",0,Search!$E$4),$A315&lt;=IF(Search!$E$5="",99999,Search!$E$5),OR(Search!$E$6="",ISNUMBER(SEARCH(Search!$E$6,$C315))),OR(Search!$E$7="All",Search!$E$7="",$D315=Search!$E$7),OR(Search!$E$8="",Search!$E$9="",AND($B315&lt;&gt;"",MOD($B315,1)&gt;=Search!$E$8,MOD($B315,1)&lt;=Search!$E$9))),1,0),0)</f>
        <v>0</v>
      </c>
      <c r="I315" s="79" t="n">
        <f aca="false">IF(H315&gt;N(H314),$E315,0)</f>
        <v>0</v>
      </c>
      <c r="J315" s="79" t="n">
        <f aca="false">IFERROR(IF(AND($A315&lt;&gt;"",$E315&lt;&gt;"",$A315&gt;=PeriodStart,$A315&lt;=PeriodEnd),$E315+ROW()/1000000,0),0)</f>
        <v>0</v>
      </c>
    </row>
    <row r="316" customFormat="false" ht="15" hidden="false" customHeight="false" outlineLevel="0" collapsed="false">
      <c r="A316" s="75"/>
      <c r="B316" s="76"/>
      <c r="C316" s="77"/>
      <c r="D316" s="77"/>
      <c r="E316" s="78"/>
      <c r="F316" s="77"/>
      <c r="G316" s="77"/>
      <c r="H316" s="79" t="n">
        <f aca="false">N(H315)+IFERROR(IF(AND($A316&lt;&gt;"",$E316&lt;&gt;"",$A316&gt;=IF(Search!$E$4="",0,Search!$E$4),$A316&lt;=IF(Search!$E$5="",99999,Search!$E$5),OR(Search!$E$6="",ISNUMBER(SEARCH(Search!$E$6,$C316))),OR(Search!$E$7="All",Search!$E$7="",$D316=Search!$E$7),OR(Search!$E$8="",Search!$E$9="",AND($B316&lt;&gt;"",MOD($B316,1)&gt;=Search!$E$8,MOD($B316,1)&lt;=Search!$E$9))),1,0),0)</f>
        <v>0</v>
      </c>
      <c r="I316" s="79" t="n">
        <f aca="false">IF(H316&gt;N(H315),$E316,0)</f>
        <v>0</v>
      </c>
      <c r="J316" s="79" t="n">
        <f aca="false">IFERROR(IF(AND($A316&lt;&gt;"",$E316&lt;&gt;"",$A316&gt;=PeriodStart,$A316&lt;=PeriodEnd),$E316+ROW()/1000000,0),0)</f>
        <v>0</v>
      </c>
    </row>
    <row r="317" customFormat="false" ht="15" hidden="false" customHeight="false" outlineLevel="0" collapsed="false">
      <c r="A317" s="75"/>
      <c r="B317" s="76"/>
      <c r="C317" s="77"/>
      <c r="D317" s="77"/>
      <c r="E317" s="78"/>
      <c r="F317" s="77"/>
      <c r="G317" s="77"/>
      <c r="H317" s="79" t="n">
        <f aca="false">N(H316)+IFERROR(IF(AND($A317&lt;&gt;"",$E317&lt;&gt;"",$A317&gt;=IF(Search!$E$4="",0,Search!$E$4),$A317&lt;=IF(Search!$E$5="",99999,Search!$E$5),OR(Search!$E$6="",ISNUMBER(SEARCH(Search!$E$6,$C317))),OR(Search!$E$7="All",Search!$E$7="",$D317=Search!$E$7),OR(Search!$E$8="",Search!$E$9="",AND($B317&lt;&gt;"",MOD($B317,1)&gt;=Search!$E$8,MOD($B317,1)&lt;=Search!$E$9))),1,0),0)</f>
        <v>0</v>
      </c>
      <c r="I317" s="79" t="n">
        <f aca="false">IF(H317&gt;N(H316),$E317,0)</f>
        <v>0</v>
      </c>
      <c r="J317" s="79" t="n">
        <f aca="false">IFERROR(IF(AND($A317&lt;&gt;"",$E317&lt;&gt;"",$A317&gt;=PeriodStart,$A317&lt;=PeriodEnd),$E317+ROW()/1000000,0),0)</f>
        <v>0</v>
      </c>
    </row>
    <row r="318" customFormat="false" ht="15" hidden="false" customHeight="false" outlineLevel="0" collapsed="false">
      <c r="A318" s="75"/>
      <c r="B318" s="76"/>
      <c r="C318" s="77"/>
      <c r="D318" s="77"/>
      <c r="E318" s="78"/>
      <c r="F318" s="77"/>
      <c r="G318" s="77"/>
      <c r="H318" s="79" t="n">
        <f aca="false">N(H317)+IFERROR(IF(AND($A318&lt;&gt;"",$E318&lt;&gt;"",$A318&gt;=IF(Search!$E$4="",0,Search!$E$4),$A318&lt;=IF(Search!$E$5="",99999,Search!$E$5),OR(Search!$E$6="",ISNUMBER(SEARCH(Search!$E$6,$C318))),OR(Search!$E$7="All",Search!$E$7="",$D318=Search!$E$7),OR(Search!$E$8="",Search!$E$9="",AND($B318&lt;&gt;"",MOD($B318,1)&gt;=Search!$E$8,MOD($B318,1)&lt;=Search!$E$9))),1,0),0)</f>
        <v>0</v>
      </c>
      <c r="I318" s="79" t="n">
        <f aca="false">IF(H318&gt;N(H317),$E318,0)</f>
        <v>0</v>
      </c>
      <c r="J318" s="79" t="n">
        <f aca="false">IFERROR(IF(AND($A318&lt;&gt;"",$E318&lt;&gt;"",$A318&gt;=PeriodStart,$A318&lt;=PeriodEnd),$E318+ROW()/1000000,0),0)</f>
        <v>0</v>
      </c>
    </row>
    <row r="319" customFormat="false" ht="15" hidden="false" customHeight="false" outlineLevel="0" collapsed="false">
      <c r="A319" s="75"/>
      <c r="B319" s="76"/>
      <c r="C319" s="77"/>
      <c r="D319" s="77"/>
      <c r="E319" s="78"/>
      <c r="F319" s="77"/>
      <c r="G319" s="77"/>
      <c r="H319" s="79" t="n">
        <f aca="false">N(H318)+IFERROR(IF(AND($A319&lt;&gt;"",$E319&lt;&gt;"",$A319&gt;=IF(Search!$E$4="",0,Search!$E$4),$A319&lt;=IF(Search!$E$5="",99999,Search!$E$5),OR(Search!$E$6="",ISNUMBER(SEARCH(Search!$E$6,$C319))),OR(Search!$E$7="All",Search!$E$7="",$D319=Search!$E$7),OR(Search!$E$8="",Search!$E$9="",AND($B319&lt;&gt;"",MOD($B319,1)&gt;=Search!$E$8,MOD($B319,1)&lt;=Search!$E$9))),1,0),0)</f>
        <v>0</v>
      </c>
      <c r="I319" s="79" t="n">
        <f aca="false">IF(H319&gt;N(H318),$E319,0)</f>
        <v>0</v>
      </c>
      <c r="J319" s="79" t="n">
        <f aca="false">IFERROR(IF(AND($A319&lt;&gt;"",$E319&lt;&gt;"",$A319&gt;=PeriodStart,$A319&lt;=PeriodEnd),$E319+ROW()/1000000,0),0)</f>
        <v>0</v>
      </c>
    </row>
    <row r="320" customFormat="false" ht="15" hidden="false" customHeight="false" outlineLevel="0" collapsed="false">
      <c r="A320" s="75"/>
      <c r="B320" s="76"/>
      <c r="C320" s="77"/>
      <c r="D320" s="77"/>
      <c r="E320" s="78"/>
      <c r="F320" s="77"/>
      <c r="G320" s="77"/>
      <c r="H320" s="79" t="n">
        <f aca="false">N(H319)+IFERROR(IF(AND($A320&lt;&gt;"",$E320&lt;&gt;"",$A320&gt;=IF(Search!$E$4="",0,Search!$E$4),$A320&lt;=IF(Search!$E$5="",99999,Search!$E$5),OR(Search!$E$6="",ISNUMBER(SEARCH(Search!$E$6,$C320))),OR(Search!$E$7="All",Search!$E$7="",$D320=Search!$E$7),OR(Search!$E$8="",Search!$E$9="",AND($B320&lt;&gt;"",MOD($B320,1)&gt;=Search!$E$8,MOD($B320,1)&lt;=Search!$E$9))),1,0),0)</f>
        <v>0</v>
      </c>
      <c r="I320" s="79" t="n">
        <f aca="false">IF(H320&gt;N(H319),$E320,0)</f>
        <v>0</v>
      </c>
      <c r="J320" s="79" t="n">
        <f aca="false">IFERROR(IF(AND($A320&lt;&gt;"",$E320&lt;&gt;"",$A320&gt;=PeriodStart,$A320&lt;=PeriodEnd),$E320+ROW()/1000000,0),0)</f>
        <v>0</v>
      </c>
    </row>
    <row r="321" customFormat="false" ht="15" hidden="false" customHeight="false" outlineLevel="0" collapsed="false">
      <c r="A321" s="75"/>
      <c r="B321" s="76"/>
      <c r="C321" s="77"/>
      <c r="D321" s="77"/>
      <c r="E321" s="78"/>
      <c r="F321" s="77"/>
      <c r="G321" s="77"/>
      <c r="H321" s="79" t="n">
        <f aca="false">N(H320)+IFERROR(IF(AND($A321&lt;&gt;"",$E321&lt;&gt;"",$A321&gt;=IF(Search!$E$4="",0,Search!$E$4),$A321&lt;=IF(Search!$E$5="",99999,Search!$E$5),OR(Search!$E$6="",ISNUMBER(SEARCH(Search!$E$6,$C321))),OR(Search!$E$7="All",Search!$E$7="",$D321=Search!$E$7),OR(Search!$E$8="",Search!$E$9="",AND($B321&lt;&gt;"",MOD($B321,1)&gt;=Search!$E$8,MOD($B321,1)&lt;=Search!$E$9))),1,0),0)</f>
        <v>0</v>
      </c>
      <c r="I321" s="79" t="n">
        <f aca="false">IF(H321&gt;N(H320),$E321,0)</f>
        <v>0</v>
      </c>
      <c r="J321" s="79" t="n">
        <f aca="false">IFERROR(IF(AND($A321&lt;&gt;"",$E321&lt;&gt;"",$A321&gt;=PeriodStart,$A321&lt;=PeriodEnd),$E321+ROW()/1000000,0),0)</f>
        <v>0</v>
      </c>
    </row>
    <row r="322" customFormat="false" ht="15" hidden="false" customHeight="false" outlineLevel="0" collapsed="false">
      <c r="A322" s="75"/>
      <c r="B322" s="76"/>
      <c r="C322" s="77"/>
      <c r="D322" s="77"/>
      <c r="E322" s="78"/>
      <c r="F322" s="77"/>
      <c r="G322" s="77"/>
      <c r="H322" s="79" t="n">
        <f aca="false">N(H321)+IFERROR(IF(AND($A322&lt;&gt;"",$E322&lt;&gt;"",$A322&gt;=IF(Search!$E$4="",0,Search!$E$4),$A322&lt;=IF(Search!$E$5="",99999,Search!$E$5),OR(Search!$E$6="",ISNUMBER(SEARCH(Search!$E$6,$C322))),OR(Search!$E$7="All",Search!$E$7="",$D322=Search!$E$7),OR(Search!$E$8="",Search!$E$9="",AND($B322&lt;&gt;"",MOD($B322,1)&gt;=Search!$E$8,MOD($B322,1)&lt;=Search!$E$9))),1,0),0)</f>
        <v>0</v>
      </c>
      <c r="I322" s="79" t="n">
        <f aca="false">IF(H322&gt;N(H321),$E322,0)</f>
        <v>0</v>
      </c>
      <c r="J322" s="79" t="n">
        <f aca="false">IFERROR(IF(AND($A322&lt;&gt;"",$E322&lt;&gt;"",$A322&gt;=PeriodStart,$A322&lt;=PeriodEnd),$E322+ROW()/1000000,0),0)</f>
        <v>0</v>
      </c>
    </row>
    <row r="323" customFormat="false" ht="15" hidden="false" customHeight="false" outlineLevel="0" collapsed="false">
      <c r="A323" s="75"/>
      <c r="B323" s="76"/>
      <c r="C323" s="77"/>
      <c r="D323" s="77"/>
      <c r="E323" s="78"/>
      <c r="F323" s="77"/>
      <c r="G323" s="77"/>
      <c r="H323" s="79" t="n">
        <f aca="false">N(H322)+IFERROR(IF(AND($A323&lt;&gt;"",$E323&lt;&gt;"",$A323&gt;=IF(Search!$E$4="",0,Search!$E$4),$A323&lt;=IF(Search!$E$5="",99999,Search!$E$5),OR(Search!$E$6="",ISNUMBER(SEARCH(Search!$E$6,$C323))),OR(Search!$E$7="All",Search!$E$7="",$D323=Search!$E$7),OR(Search!$E$8="",Search!$E$9="",AND($B323&lt;&gt;"",MOD($B323,1)&gt;=Search!$E$8,MOD($B323,1)&lt;=Search!$E$9))),1,0),0)</f>
        <v>0</v>
      </c>
      <c r="I323" s="79" t="n">
        <f aca="false">IF(H323&gt;N(H322),$E323,0)</f>
        <v>0</v>
      </c>
      <c r="J323" s="79" t="n">
        <f aca="false">IFERROR(IF(AND($A323&lt;&gt;"",$E323&lt;&gt;"",$A323&gt;=PeriodStart,$A323&lt;=PeriodEnd),$E323+ROW()/1000000,0),0)</f>
        <v>0</v>
      </c>
    </row>
    <row r="324" customFormat="false" ht="15" hidden="false" customHeight="false" outlineLevel="0" collapsed="false">
      <c r="A324" s="75"/>
      <c r="B324" s="76"/>
      <c r="C324" s="77"/>
      <c r="D324" s="77"/>
      <c r="E324" s="78"/>
      <c r="F324" s="77"/>
      <c r="G324" s="77"/>
      <c r="H324" s="79" t="n">
        <f aca="false">N(H323)+IFERROR(IF(AND($A324&lt;&gt;"",$E324&lt;&gt;"",$A324&gt;=IF(Search!$E$4="",0,Search!$E$4),$A324&lt;=IF(Search!$E$5="",99999,Search!$E$5),OR(Search!$E$6="",ISNUMBER(SEARCH(Search!$E$6,$C324))),OR(Search!$E$7="All",Search!$E$7="",$D324=Search!$E$7),OR(Search!$E$8="",Search!$E$9="",AND($B324&lt;&gt;"",MOD($B324,1)&gt;=Search!$E$8,MOD($B324,1)&lt;=Search!$E$9))),1,0),0)</f>
        <v>0</v>
      </c>
      <c r="I324" s="79" t="n">
        <f aca="false">IF(H324&gt;N(H323),$E324,0)</f>
        <v>0</v>
      </c>
      <c r="J324" s="79" t="n">
        <f aca="false">IFERROR(IF(AND($A324&lt;&gt;"",$E324&lt;&gt;"",$A324&gt;=PeriodStart,$A324&lt;=PeriodEnd),$E324+ROW()/1000000,0),0)</f>
        <v>0</v>
      </c>
    </row>
    <row r="325" customFormat="false" ht="15" hidden="false" customHeight="false" outlineLevel="0" collapsed="false">
      <c r="A325" s="75"/>
      <c r="B325" s="76"/>
      <c r="C325" s="77"/>
      <c r="D325" s="77"/>
      <c r="E325" s="78"/>
      <c r="F325" s="77"/>
      <c r="G325" s="77"/>
      <c r="H325" s="79" t="n">
        <f aca="false">N(H324)+IFERROR(IF(AND($A325&lt;&gt;"",$E325&lt;&gt;"",$A325&gt;=IF(Search!$E$4="",0,Search!$E$4),$A325&lt;=IF(Search!$E$5="",99999,Search!$E$5),OR(Search!$E$6="",ISNUMBER(SEARCH(Search!$E$6,$C325))),OR(Search!$E$7="All",Search!$E$7="",$D325=Search!$E$7),OR(Search!$E$8="",Search!$E$9="",AND($B325&lt;&gt;"",MOD($B325,1)&gt;=Search!$E$8,MOD($B325,1)&lt;=Search!$E$9))),1,0),0)</f>
        <v>0</v>
      </c>
      <c r="I325" s="79" t="n">
        <f aca="false">IF(H325&gt;N(H324),$E325,0)</f>
        <v>0</v>
      </c>
      <c r="J325" s="79" t="n">
        <f aca="false">IFERROR(IF(AND($A325&lt;&gt;"",$E325&lt;&gt;"",$A325&gt;=PeriodStart,$A325&lt;=PeriodEnd),$E325+ROW()/1000000,0),0)</f>
        <v>0</v>
      </c>
    </row>
    <row r="326" customFormat="false" ht="15" hidden="false" customHeight="false" outlineLevel="0" collapsed="false">
      <c r="A326" s="75"/>
      <c r="B326" s="76"/>
      <c r="C326" s="77"/>
      <c r="D326" s="77"/>
      <c r="E326" s="78"/>
      <c r="F326" s="77"/>
      <c r="G326" s="77"/>
      <c r="H326" s="79" t="n">
        <f aca="false">N(H325)+IFERROR(IF(AND($A326&lt;&gt;"",$E326&lt;&gt;"",$A326&gt;=IF(Search!$E$4="",0,Search!$E$4),$A326&lt;=IF(Search!$E$5="",99999,Search!$E$5),OR(Search!$E$6="",ISNUMBER(SEARCH(Search!$E$6,$C326))),OR(Search!$E$7="All",Search!$E$7="",$D326=Search!$E$7),OR(Search!$E$8="",Search!$E$9="",AND($B326&lt;&gt;"",MOD($B326,1)&gt;=Search!$E$8,MOD($B326,1)&lt;=Search!$E$9))),1,0),0)</f>
        <v>0</v>
      </c>
      <c r="I326" s="79" t="n">
        <f aca="false">IF(H326&gt;N(H325),$E326,0)</f>
        <v>0</v>
      </c>
      <c r="J326" s="79" t="n">
        <f aca="false">IFERROR(IF(AND($A326&lt;&gt;"",$E326&lt;&gt;"",$A326&gt;=PeriodStart,$A326&lt;=PeriodEnd),$E326+ROW()/1000000,0),0)</f>
        <v>0</v>
      </c>
    </row>
    <row r="327" customFormat="false" ht="15" hidden="false" customHeight="false" outlineLevel="0" collapsed="false">
      <c r="A327" s="75"/>
      <c r="B327" s="76"/>
      <c r="C327" s="77"/>
      <c r="D327" s="77"/>
      <c r="E327" s="78"/>
      <c r="F327" s="77"/>
      <c r="G327" s="77"/>
      <c r="H327" s="79" t="n">
        <f aca="false">N(H326)+IFERROR(IF(AND($A327&lt;&gt;"",$E327&lt;&gt;"",$A327&gt;=IF(Search!$E$4="",0,Search!$E$4),$A327&lt;=IF(Search!$E$5="",99999,Search!$E$5),OR(Search!$E$6="",ISNUMBER(SEARCH(Search!$E$6,$C327))),OR(Search!$E$7="All",Search!$E$7="",$D327=Search!$E$7),OR(Search!$E$8="",Search!$E$9="",AND($B327&lt;&gt;"",MOD($B327,1)&gt;=Search!$E$8,MOD($B327,1)&lt;=Search!$E$9))),1,0),0)</f>
        <v>0</v>
      </c>
      <c r="I327" s="79" t="n">
        <f aca="false">IF(H327&gt;N(H326),$E327,0)</f>
        <v>0</v>
      </c>
      <c r="J327" s="79" t="n">
        <f aca="false">IFERROR(IF(AND($A327&lt;&gt;"",$E327&lt;&gt;"",$A327&gt;=PeriodStart,$A327&lt;=PeriodEnd),$E327+ROW()/1000000,0),0)</f>
        <v>0</v>
      </c>
    </row>
    <row r="328" customFormat="false" ht="15" hidden="false" customHeight="false" outlineLevel="0" collapsed="false">
      <c r="A328" s="75"/>
      <c r="B328" s="76"/>
      <c r="C328" s="77"/>
      <c r="D328" s="77"/>
      <c r="E328" s="78"/>
      <c r="F328" s="77"/>
      <c r="G328" s="77"/>
      <c r="H328" s="79" t="n">
        <f aca="false">N(H327)+IFERROR(IF(AND($A328&lt;&gt;"",$E328&lt;&gt;"",$A328&gt;=IF(Search!$E$4="",0,Search!$E$4),$A328&lt;=IF(Search!$E$5="",99999,Search!$E$5),OR(Search!$E$6="",ISNUMBER(SEARCH(Search!$E$6,$C328))),OR(Search!$E$7="All",Search!$E$7="",$D328=Search!$E$7),OR(Search!$E$8="",Search!$E$9="",AND($B328&lt;&gt;"",MOD($B328,1)&gt;=Search!$E$8,MOD($B328,1)&lt;=Search!$E$9))),1,0),0)</f>
        <v>0</v>
      </c>
      <c r="I328" s="79" t="n">
        <f aca="false">IF(H328&gt;N(H327),$E328,0)</f>
        <v>0</v>
      </c>
      <c r="J328" s="79" t="n">
        <f aca="false">IFERROR(IF(AND($A328&lt;&gt;"",$E328&lt;&gt;"",$A328&gt;=PeriodStart,$A328&lt;=PeriodEnd),$E328+ROW()/1000000,0),0)</f>
        <v>0</v>
      </c>
    </row>
    <row r="329" customFormat="false" ht="15" hidden="false" customHeight="false" outlineLevel="0" collapsed="false">
      <c r="A329" s="75"/>
      <c r="B329" s="76"/>
      <c r="C329" s="77"/>
      <c r="D329" s="77"/>
      <c r="E329" s="78"/>
      <c r="F329" s="77"/>
      <c r="G329" s="77"/>
      <c r="H329" s="79" t="n">
        <f aca="false">N(H328)+IFERROR(IF(AND($A329&lt;&gt;"",$E329&lt;&gt;"",$A329&gt;=IF(Search!$E$4="",0,Search!$E$4),$A329&lt;=IF(Search!$E$5="",99999,Search!$E$5),OR(Search!$E$6="",ISNUMBER(SEARCH(Search!$E$6,$C329))),OR(Search!$E$7="All",Search!$E$7="",$D329=Search!$E$7),OR(Search!$E$8="",Search!$E$9="",AND($B329&lt;&gt;"",MOD($B329,1)&gt;=Search!$E$8,MOD($B329,1)&lt;=Search!$E$9))),1,0),0)</f>
        <v>0</v>
      </c>
      <c r="I329" s="79" t="n">
        <f aca="false">IF(H329&gt;N(H328),$E329,0)</f>
        <v>0</v>
      </c>
      <c r="J329" s="79" t="n">
        <f aca="false">IFERROR(IF(AND($A329&lt;&gt;"",$E329&lt;&gt;"",$A329&gt;=PeriodStart,$A329&lt;=PeriodEnd),$E329+ROW()/1000000,0),0)</f>
        <v>0</v>
      </c>
    </row>
    <row r="330" customFormat="false" ht="15" hidden="false" customHeight="false" outlineLevel="0" collapsed="false">
      <c r="A330" s="75"/>
      <c r="B330" s="76"/>
      <c r="C330" s="77"/>
      <c r="D330" s="77"/>
      <c r="E330" s="78"/>
      <c r="F330" s="77"/>
      <c r="G330" s="77"/>
      <c r="H330" s="79" t="n">
        <f aca="false">N(H329)+IFERROR(IF(AND($A330&lt;&gt;"",$E330&lt;&gt;"",$A330&gt;=IF(Search!$E$4="",0,Search!$E$4),$A330&lt;=IF(Search!$E$5="",99999,Search!$E$5),OR(Search!$E$6="",ISNUMBER(SEARCH(Search!$E$6,$C330))),OR(Search!$E$7="All",Search!$E$7="",$D330=Search!$E$7),OR(Search!$E$8="",Search!$E$9="",AND($B330&lt;&gt;"",MOD($B330,1)&gt;=Search!$E$8,MOD($B330,1)&lt;=Search!$E$9))),1,0),0)</f>
        <v>0</v>
      </c>
      <c r="I330" s="79" t="n">
        <f aca="false">IF(H330&gt;N(H329),$E330,0)</f>
        <v>0</v>
      </c>
      <c r="J330" s="79" t="n">
        <f aca="false">IFERROR(IF(AND($A330&lt;&gt;"",$E330&lt;&gt;"",$A330&gt;=PeriodStart,$A330&lt;=PeriodEnd),$E330+ROW()/1000000,0),0)</f>
        <v>0</v>
      </c>
    </row>
    <row r="331" customFormat="false" ht="15" hidden="false" customHeight="false" outlineLevel="0" collapsed="false">
      <c r="A331" s="75"/>
      <c r="B331" s="76"/>
      <c r="C331" s="77"/>
      <c r="D331" s="77"/>
      <c r="E331" s="78"/>
      <c r="F331" s="77"/>
      <c r="G331" s="77"/>
      <c r="H331" s="79" t="n">
        <f aca="false">N(H330)+IFERROR(IF(AND($A331&lt;&gt;"",$E331&lt;&gt;"",$A331&gt;=IF(Search!$E$4="",0,Search!$E$4),$A331&lt;=IF(Search!$E$5="",99999,Search!$E$5),OR(Search!$E$6="",ISNUMBER(SEARCH(Search!$E$6,$C331))),OR(Search!$E$7="All",Search!$E$7="",$D331=Search!$E$7),OR(Search!$E$8="",Search!$E$9="",AND($B331&lt;&gt;"",MOD($B331,1)&gt;=Search!$E$8,MOD($B331,1)&lt;=Search!$E$9))),1,0),0)</f>
        <v>0</v>
      </c>
      <c r="I331" s="79" t="n">
        <f aca="false">IF(H331&gt;N(H330),$E331,0)</f>
        <v>0</v>
      </c>
      <c r="J331" s="79" t="n">
        <f aca="false">IFERROR(IF(AND($A331&lt;&gt;"",$E331&lt;&gt;"",$A331&gt;=PeriodStart,$A331&lt;=PeriodEnd),$E331+ROW()/1000000,0),0)</f>
        <v>0</v>
      </c>
    </row>
    <row r="332" customFormat="false" ht="15" hidden="false" customHeight="false" outlineLevel="0" collapsed="false">
      <c r="A332" s="75"/>
      <c r="B332" s="76"/>
      <c r="C332" s="77"/>
      <c r="D332" s="77"/>
      <c r="E332" s="78"/>
      <c r="F332" s="77"/>
      <c r="G332" s="77"/>
      <c r="H332" s="79" t="n">
        <f aca="false">N(H331)+IFERROR(IF(AND($A332&lt;&gt;"",$E332&lt;&gt;"",$A332&gt;=IF(Search!$E$4="",0,Search!$E$4),$A332&lt;=IF(Search!$E$5="",99999,Search!$E$5),OR(Search!$E$6="",ISNUMBER(SEARCH(Search!$E$6,$C332))),OR(Search!$E$7="All",Search!$E$7="",$D332=Search!$E$7),OR(Search!$E$8="",Search!$E$9="",AND($B332&lt;&gt;"",MOD($B332,1)&gt;=Search!$E$8,MOD($B332,1)&lt;=Search!$E$9))),1,0),0)</f>
        <v>0</v>
      </c>
      <c r="I332" s="79" t="n">
        <f aca="false">IF(H332&gt;N(H331),$E332,0)</f>
        <v>0</v>
      </c>
      <c r="J332" s="79" t="n">
        <f aca="false">IFERROR(IF(AND($A332&lt;&gt;"",$E332&lt;&gt;"",$A332&gt;=PeriodStart,$A332&lt;=PeriodEnd),$E332+ROW()/1000000,0),0)</f>
        <v>0</v>
      </c>
    </row>
    <row r="333" customFormat="false" ht="15" hidden="false" customHeight="false" outlineLevel="0" collapsed="false">
      <c r="A333" s="75"/>
      <c r="B333" s="76"/>
      <c r="C333" s="77"/>
      <c r="D333" s="77"/>
      <c r="E333" s="78"/>
      <c r="F333" s="77"/>
      <c r="G333" s="77"/>
      <c r="H333" s="79" t="n">
        <f aca="false">N(H332)+IFERROR(IF(AND($A333&lt;&gt;"",$E333&lt;&gt;"",$A333&gt;=IF(Search!$E$4="",0,Search!$E$4),$A333&lt;=IF(Search!$E$5="",99999,Search!$E$5),OR(Search!$E$6="",ISNUMBER(SEARCH(Search!$E$6,$C333))),OR(Search!$E$7="All",Search!$E$7="",$D333=Search!$E$7),OR(Search!$E$8="",Search!$E$9="",AND($B333&lt;&gt;"",MOD($B333,1)&gt;=Search!$E$8,MOD($B333,1)&lt;=Search!$E$9))),1,0),0)</f>
        <v>0</v>
      </c>
      <c r="I333" s="79" t="n">
        <f aca="false">IF(H333&gt;N(H332),$E333,0)</f>
        <v>0</v>
      </c>
      <c r="J333" s="79" t="n">
        <f aca="false">IFERROR(IF(AND($A333&lt;&gt;"",$E333&lt;&gt;"",$A333&gt;=PeriodStart,$A333&lt;=PeriodEnd),$E333+ROW()/1000000,0),0)</f>
        <v>0</v>
      </c>
    </row>
    <row r="334" customFormat="false" ht="15" hidden="false" customHeight="false" outlineLevel="0" collapsed="false">
      <c r="A334" s="75"/>
      <c r="B334" s="76"/>
      <c r="C334" s="77"/>
      <c r="D334" s="77"/>
      <c r="E334" s="78"/>
      <c r="F334" s="77"/>
      <c r="G334" s="77"/>
      <c r="H334" s="79" t="n">
        <f aca="false">N(H333)+IFERROR(IF(AND($A334&lt;&gt;"",$E334&lt;&gt;"",$A334&gt;=IF(Search!$E$4="",0,Search!$E$4),$A334&lt;=IF(Search!$E$5="",99999,Search!$E$5),OR(Search!$E$6="",ISNUMBER(SEARCH(Search!$E$6,$C334))),OR(Search!$E$7="All",Search!$E$7="",$D334=Search!$E$7),OR(Search!$E$8="",Search!$E$9="",AND($B334&lt;&gt;"",MOD($B334,1)&gt;=Search!$E$8,MOD($B334,1)&lt;=Search!$E$9))),1,0),0)</f>
        <v>0</v>
      </c>
      <c r="I334" s="79" t="n">
        <f aca="false">IF(H334&gt;N(H333),$E334,0)</f>
        <v>0</v>
      </c>
      <c r="J334" s="79" t="n">
        <f aca="false">IFERROR(IF(AND($A334&lt;&gt;"",$E334&lt;&gt;"",$A334&gt;=PeriodStart,$A334&lt;=PeriodEnd),$E334+ROW()/1000000,0),0)</f>
        <v>0</v>
      </c>
    </row>
    <row r="335" customFormat="false" ht="15" hidden="false" customHeight="false" outlineLevel="0" collapsed="false">
      <c r="A335" s="75"/>
      <c r="B335" s="76"/>
      <c r="C335" s="77"/>
      <c r="D335" s="77"/>
      <c r="E335" s="78"/>
      <c r="F335" s="77"/>
      <c r="G335" s="77"/>
      <c r="H335" s="79" t="n">
        <f aca="false">N(H334)+IFERROR(IF(AND($A335&lt;&gt;"",$E335&lt;&gt;"",$A335&gt;=IF(Search!$E$4="",0,Search!$E$4),$A335&lt;=IF(Search!$E$5="",99999,Search!$E$5),OR(Search!$E$6="",ISNUMBER(SEARCH(Search!$E$6,$C335))),OR(Search!$E$7="All",Search!$E$7="",$D335=Search!$E$7),OR(Search!$E$8="",Search!$E$9="",AND($B335&lt;&gt;"",MOD($B335,1)&gt;=Search!$E$8,MOD($B335,1)&lt;=Search!$E$9))),1,0),0)</f>
        <v>0</v>
      </c>
      <c r="I335" s="79" t="n">
        <f aca="false">IF(H335&gt;N(H334),$E335,0)</f>
        <v>0</v>
      </c>
      <c r="J335" s="79" t="n">
        <f aca="false">IFERROR(IF(AND($A335&lt;&gt;"",$E335&lt;&gt;"",$A335&gt;=PeriodStart,$A335&lt;=PeriodEnd),$E335+ROW()/1000000,0),0)</f>
        <v>0</v>
      </c>
    </row>
    <row r="336" customFormat="false" ht="15" hidden="false" customHeight="false" outlineLevel="0" collapsed="false">
      <c r="A336" s="75"/>
      <c r="B336" s="76"/>
      <c r="C336" s="77"/>
      <c r="D336" s="77"/>
      <c r="E336" s="78"/>
      <c r="F336" s="77"/>
      <c r="G336" s="77"/>
      <c r="H336" s="79" t="n">
        <f aca="false">N(H335)+IFERROR(IF(AND($A336&lt;&gt;"",$E336&lt;&gt;"",$A336&gt;=IF(Search!$E$4="",0,Search!$E$4),$A336&lt;=IF(Search!$E$5="",99999,Search!$E$5),OR(Search!$E$6="",ISNUMBER(SEARCH(Search!$E$6,$C336))),OR(Search!$E$7="All",Search!$E$7="",$D336=Search!$E$7),OR(Search!$E$8="",Search!$E$9="",AND($B336&lt;&gt;"",MOD($B336,1)&gt;=Search!$E$8,MOD($B336,1)&lt;=Search!$E$9))),1,0),0)</f>
        <v>0</v>
      </c>
      <c r="I336" s="79" t="n">
        <f aca="false">IF(H336&gt;N(H335),$E336,0)</f>
        <v>0</v>
      </c>
      <c r="J336" s="79" t="n">
        <f aca="false">IFERROR(IF(AND($A336&lt;&gt;"",$E336&lt;&gt;"",$A336&gt;=PeriodStart,$A336&lt;=PeriodEnd),$E336+ROW()/1000000,0),0)</f>
        <v>0</v>
      </c>
    </row>
    <row r="337" customFormat="false" ht="15" hidden="false" customHeight="false" outlineLevel="0" collapsed="false">
      <c r="A337" s="75"/>
      <c r="B337" s="76"/>
      <c r="C337" s="77"/>
      <c r="D337" s="77"/>
      <c r="E337" s="78"/>
      <c r="F337" s="77"/>
      <c r="G337" s="77"/>
      <c r="H337" s="79" t="n">
        <f aca="false">N(H336)+IFERROR(IF(AND($A337&lt;&gt;"",$E337&lt;&gt;"",$A337&gt;=IF(Search!$E$4="",0,Search!$E$4),$A337&lt;=IF(Search!$E$5="",99999,Search!$E$5),OR(Search!$E$6="",ISNUMBER(SEARCH(Search!$E$6,$C337))),OR(Search!$E$7="All",Search!$E$7="",$D337=Search!$E$7),OR(Search!$E$8="",Search!$E$9="",AND($B337&lt;&gt;"",MOD($B337,1)&gt;=Search!$E$8,MOD($B337,1)&lt;=Search!$E$9))),1,0),0)</f>
        <v>0</v>
      </c>
      <c r="I337" s="79" t="n">
        <f aca="false">IF(H337&gt;N(H336),$E337,0)</f>
        <v>0</v>
      </c>
      <c r="J337" s="79" t="n">
        <f aca="false">IFERROR(IF(AND($A337&lt;&gt;"",$E337&lt;&gt;"",$A337&gt;=PeriodStart,$A337&lt;=PeriodEnd),$E337+ROW()/1000000,0),0)</f>
        <v>0</v>
      </c>
    </row>
    <row r="338" customFormat="false" ht="15" hidden="false" customHeight="false" outlineLevel="0" collapsed="false">
      <c r="A338" s="75"/>
      <c r="B338" s="76"/>
      <c r="C338" s="77"/>
      <c r="D338" s="77"/>
      <c r="E338" s="78"/>
      <c r="F338" s="77"/>
      <c r="G338" s="77"/>
      <c r="H338" s="79" t="n">
        <f aca="false">N(H337)+IFERROR(IF(AND($A338&lt;&gt;"",$E338&lt;&gt;"",$A338&gt;=IF(Search!$E$4="",0,Search!$E$4),$A338&lt;=IF(Search!$E$5="",99999,Search!$E$5),OR(Search!$E$6="",ISNUMBER(SEARCH(Search!$E$6,$C338))),OR(Search!$E$7="All",Search!$E$7="",$D338=Search!$E$7),OR(Search!$E$8="",Search!$E$9="",AND($B338&lt;&gt;"",MOD($B338,1)&gt;=Search!$E$8,MOD($B338,1)&lt;=Search!$E$9))),1,0),0)</f>
        <v>0</v>
      </c>
      <c r="I338" s="79" t="n">
        <f aca="false">IF(H338&gt;N(H337),$E338,0)</f>
        <v>0</v>
      </c>
      <c r="J338" s="79" t="n">
        <f aca="false">IFERROR(IF(AND($A338&lt;&gt;"",$E338&lt;&gt;"",$A338&gt;=PeriodStart,$A338&lt;=PeriodEnd),$E338+ROW()/1000000,0),0)</f>
        <v>0</v>
      </c>
    </row>
    <row r="339" customFormat="false" ht="15" hidden="false" customHeight="false" outlineLevel="0" collapsed="false">
      <c r="A339" s="75"/>
      <c r="B339" s="76"/>
      <c r="C339" s="77"/>
      <c r="D339" s="77"/>
      <c r="E339" s="78"/>
      <c r="F339" s="77"/>
      <c r="G339" s="77"/>
      <c r="H339" s="79" t="n">
        <f aca="false">N(H338)+IFERROR(IF(AND($A339&lt;&gt;"",$E339&lt;&gt;"",$A339&gt;=IF(Search!$E$4="",0,Search!$E$4),$A339&lt;=IF(Search!$E$5="",99999,Search!$E$5),OR(Search!$E$6="",ISNUMBER(SEARCH(Search!$E$6,$C339))),OR(Search!$E$7="All",Search!$E$7="",$D339=Search!$E$7),OR(Search!$E$8="",Search!$E$9="",AND($B339&lt;&gt;"",MOD($B339,1)&gt;=Search!$E$8,MOD($B339,1)&lt;=Search!$E$9))),1,0),0)</f>
        <v>0</v>
      </c>
      <c r="I339" s="79" t="n">
        <f aca="false">IF(H339&gt;N(H338),$E339,0)</f>
        <v>0</v>
      </c>
      <c r="J339" s="79" t="n">
        <f aca="false">IFERROR(IF(AND($A339&lt;&gt;"",$E339&lt;&gt;"",$A339&gt;=PeriodStart,$A339&lt;=PeriodEnd),$E339+ROW()/1000000,0),0)</f>
        <v>0</v>
      </c>
    </row>
    <row r="340" customFormat="false" ht="15" hidden="false" customHeight="false" outlineLevel="0" collapsed="false">
      <c r="A340" s="75"/>
      <c r="B340" s="76"/>
      <c r="C340" s="77"/>
      <c r="D340" s="77"/>
      <c r="E340" s="78"/>
      <c r="F340" s="77"/>
      <c r="G340" s="77"/>
      <c r="H340" s="79" t="n">
        <f aca="false">N(H339)+IFERROR(IF(AND($A340&lt;&gt;"",$E340&lt;&gt;"",$A340&gt;=IF(Search!$E$4="",0,Search!$E$4),$A340&lt;=IF(Search!$E$5="",99999,Search!$E$5),OR(Search!$E$6="",ISNUMBER(SEARCH(Search!$E$6,$C340))),OR(Search!$E$7="All",Search!$E$7="",$D340=Search!$E$7),OR(Search!$E$8="",Search!$E$9="",AND($B340&lt;&gt;"",MOD($B340,1)&gt;=Search!$E$8,MOD($B340,1)&lt;=Search!$E$9))),1,0),0)</f>
        <v>0</v>
      </c>
      <c r="I340" s="79" t="n">
        <f aca="false">IF(H340&gt;N(H339),$E340,0)</f>
        <v>0</v>
      </c>
      <c r="J340" s="79" t="n">
        <f aca="false">IFERROR(IF(AND($A340&lt;&gt;"",$E340&lt;&gt;"",$A340&gt;=PeriodStart,$A340&lt;=PeriodEnd),$E340+ROW()/1000000,0),0)</f>
        <v>0</v>
      </c>
    </row>
    <row r="341" customFormat="false" ht="15" hidden="false" customHeight="false" outlineLevel="0" collapsed="false">
      <c r="A341" s="75"/>
      <c r="B341" s="76"/>
      <c r="C341" s="77"/>
      <c r="D341" s="77"/>
      <c r="E341" s="78"/>
      <c r="F341" s="77"/>
      <c r="G341" s="77"/>
      <c r="H341" s="79" t="n">
        <f aca="false">N(H340)+IFERROR(IF(AND($A341&lt;&gt;"",$E341&lt;&gt;"",$A341&gt;=IF(Search!$E$4="",0,Search!$E$4),$A341&lt;=IF(Search!$E$5="",99999,Search!$E$5),OR(Search!$E$6="",ISNUMBER(SEARCH(Search!$E$6,$C341))),OR(Search!$E$7="All",Search!$E$7="",$D341=Search!$E$7),OR(Search!$E$8="",Search!$E$9="",AND($B341&lt;&gt;"",MOD($B341,1)&gt;=Search!$E$8,MOD($B341,1)&lt;=Search!$E$9))),1,0),0)</f>
        <v>0</v>
      </c>
      <c r="I341" s="79" t="n">
        <f aca="false">IF(H341&gt;N(H340),$E341,0)</f>
        <v>0</v>
      </c>
      <c r="J341" s="79" t="n">
        <f aca="false">IFERROR(IF(AND($A341&lt;&gt;"",$E341&lt;&gt;"",$A341&gt;=PeriodStart,$A341&lt;=PeriodEnd),$E341+ROW()/1000000,0),0)</f>
        <v>0</v>
      </c>
    </row>
    <row r="342" customFormat="false" ht="15" hidden="false" customHeight="false" outlineLevel="0" collapsed="false">
      <c r="A342" s="75"/>
      <c r="B342" s="76"/>
      <c r="C342" s="77"/>
      <c r="D342" s="77"/>
      <c r="E342" s="78"/>
      <c r="F342" s="77"/>
      <c r="G342" s="77"/>
      <c r="H342" s="79" t="n">
        <f aca="false">N(H341)+IFERROR(IF(AND($A342&lt;&gt;"",$E342&lt;&gt;"",$A342&gt;=IF(Search!$E$4="",0,Search!$E$4),$A342&lt;=IF(Search!$E$5="",99999,Search!$E$5),OR(Search!$E$6="",ISNUMBER(SEARCH(Search!$E$6,$C342))),OR(Search!$E$7="All",Search!$E$7="",$D342=Search!$E$7),OR(Search!$E$8="",Search!$E$9="",AND($B342&lt;&gt;"",MOD($B342,1)&gt;=Search!$E$8,MOD($B342,1)&lt;=Search!$E$9))),1,0),0)</f>
        <v>0</v>
      </c>
      <c r="I342" s="79" t="n">
        <f aca="false">IF(H342&gt;N(H341),$E342,0)</f>
        <v>0</v>
      </c>
      <c r="J342" s="79" t="n">
        <f aca="false">IFERROR(IF(AND($A342&lt;&gt;"",$E342&lt;&gt;"",$A342&gt;=PeriodStart,$A342&lt;=PeriodEnd),$E342+ROW()/1000000,0),0)</f>
        <v>0</v>
      </c>
    </row>
    <row r="343" customFormat="false" ht="15" hidden="false" customHeight="false" outlineLevel="0" collapsed="false">
      <c r="A343" s="75"/>
      <c r="B343" s="76"/>
      <c r="C343" s="77"/>
      <c r="D343" s="77"/>
      <c r="E343" s="78"/>
      <c r="F343" s="77"/>
      <c r="G343" s="77"/>
      <c r="H343" s="79" t="n">
        <f aca="false">N(H342)+IFERROR(IF(AND($A343&lt;&gt;"",$E343&lt;&gt;"",$A343&gt;=IF(Search!$E$4="",0,Search!$E$4),$A343&lt;=IF(Search!$E$5="",99999,Search!$E$5),OR(Search!$E$6="",ISNUMBER(SEARCH(Search!$E$6,$C343))),OR(Search!$E$7="All",Search!$E$7="",$D343=Search!$E$7),OR(Search!$E$8="",Search!$E$9="",AND($B343&lt;&gt;"",MOD($B343,1)&gt;=Search!$E$8,MOD($B343,1)&lt;=Search!$E$9))),1,0),0)</f>
        <v>0</v>
      </c>
      <c r="I343" s="79" t="n">
        <f aca="false">IF(H343&gt;N(H342),$E343,0)</f>
        <v>0</v>
      </c>
      <c r="J343" s="79" t="n">
        <f aca="false">IFERROR(IF(AND($A343&lt;&gt;"",$E343&lt;&gt;"",$A343&gt;=PeriodStart,$A343&lt;=PeriodEnd),$E343+ROW()/1000000,0),0)</f>
        <v>0</v>
      </c>
    </row>
    <row r="344" customFormat="false" ht="15" hidden="false" customHeight="false" outlineLevel="0" collapsed="false">
      <c r="A344" s="75"/>
      <c r="B344" s="76"/>
      <c r="C344" s="77"/>
      <c r="D344" s="77"/>
      <c r="E344" s="78"/>
      <c r="F344" s="77"/>
      <c r="G344" s="77"/>
      <c r="H344" s="79" t="n">
        <f aca="false">N(H343)+IFERROR(IF(AND($A344&lt;&gt;"",$E344&lt;&gt;"",$A344&gt;=IF(Search!$E$4="",0,Search!$E$4),$A344&lt;=IF(Search!$E$5="",99999,Search!$E$5),OR(Search!$E$6="",ISNUMBER(SEARCH(Search!$E$6,$C344))),OR(Search!$E$7="All",Search!$E$7="",$D344=Search!$E$7),OR(Search!$E$8="",Search!$E$9="",AND($B344&lt;&gt;"",MOD($B344,1)&gt;=Search!$E$8,MOD($B344,1)&lt;=Search!$E$9))),1,0),0)</f>
        <v>0</v>
      </c>
      <c r="I344" s="79" t="n">
        <f aca="false">IF(H344&gt;N(H343),$E344,0)</f>
        <v>0</v>
      </c>
      <c r="J344" s="79" t="n">
        <f aca="false">IFERROR(IF(AND($A344&lt;&gt;"",$E344&lt;&gt;"",$A344&gt;=PeriodStart,$A344&lt;=PeriodEnd),$E344+ROW()/1000000,0),0)</f>
        <v>0</v>
      </c>
    </row>
    <row r="345" customFormat="false" ht="15" hidden="false" customHeight="false" outlineLevel="0" collapsed="false">
      <c r="A345" s="75"/>
      <c r="B345" s="76"/>
      <c r="C345" s="77"/>
      <c r="D345" s="77"/>
      <c r="E345" s="78"/>
      <c r="F345" s="77"/>
      <c r="G345" s="77"/>
      <c r="H345" s="79" t="n">
        <f aca="false">N(H344)+IFERROR(IF(AND($A345&lt;&gt;"",$E345&lt;&gt;"",$A345&gt;=IF(Search!$E$4="",0,Search!$E$4),$A345&lt;=IF(Search!$E$5="",99999,Search!$E$5),OR(Search!$E$6="",ISNUMBER(SEARCH(Search!$E$6,$C345))),OR(Search!$E$7="All",Search!$E$7="",$D345=Search!$E$7),OR(Search!$E$8="",Search!$E$9="",AND($B345&lt;&gt;"",MOD($B345,1)&gt;=Search!$E$8,MOD($B345,1)&lt;=Search!$E$9))),1,0),0)</f>
        <v>0</v>
      </c>
      <c r="I345" s="79" t="n">
        <f aca="false">IF(H345&gt;N(H344),$E345,0)</f>
        <v>0</v>
      </c>
      <c r="J345" s="79" t="n">
        <f aca="false">IFERROR(IF(AND($A345&lt;&gt;"",$E345&lt;&gt;"",$A345&gt;=PeriodStart,$A345&lt;=PeriodEnd),$E345+ROW()/1000000,0),0)</f>
        <v>0</v>
      </c>
    </row>
    <row r="346" customFormat="false" ht="15" hidden="false" customHeight="false" outlineLevel="0" collapsed="false">
      <c r="A346" s="75"/>
      <c r="B346" s="76"/>
      <c r="C346" s="77"/>
      <c r="D346" s="77"/>
      <c r="E346" s="78"/>
      <c r="F346" s="77"/>
      <c r="G346" s="77"/>
      <c r="H346" s="79" t="n">
        <f aca="false">N(H345)+IFERROR(IF(AND($A346&lt;&gt;"",$E346&lt;&gt;"",$A346&gt;=IF(Search!$E$4="",0,Search!$E$4),$A346&lt;=IF(Search!$E$5="",99999,Search!$E$5),OR(Search!$E$6="",ISNUMBER(SEARCH(Search!$E$6,$C346))),OR(Search!$E$7="All",Search!$E$7="",$D346=Search!$E$7),OR(Search!$E$8="",Search!$E$9="",AND($B346&lt;&gt;"",MOD($B346,1)&gt;=Search!$E$8,MOD($B346,1)&lt;=Search!$E$9))),1,0),0)</f>
        <v>0</v>
      </c>
      <c r="I346" s="79" t="n">
        <f aca="false">IF(H346&gt;N(H345),$E346,0)</f>
        <v>0</v>
      </c>
      <c r="J346" s="79" t="n">
        <f aca="false">IFERROR(IF(AND($A346&lt;&gt;"",$E346&lt;&gt;"",$A346&gt;=PeriodStart,$A346&lt;=PeriodEnd),$E346+ROW()/1000000,0),0)</f>
        <v>0</v>
      </c>
    </row>
    <row r="347" customFormat="false" ht="15" hidden="false" customHeight="false" outlineLevel="0" collapsed="false">
      <c r="A347" s="75"/>
      <c r="B347" s="76"/>
      <c r="C347" s="77"/>
      <c r="D347" s="77"/>
      <c r="E347" s="78"/>
      <c r="F347" s="77"/>
      <c r="G347" s="77"/>
      <c r="H347" s="79" t="n">
        <f aca="false">N(H346)+IFERROR(IF(AND($A347&lt;&gt;"",$E347&lt;&gt;"",$A347&gt;=IF(Search!$E$4="",0,Search!$E$4),$A347&lt;=IF(Search!$E$5="",99999,Search!$E$5),OR(Search!$E$6="",ISNUMBER(SEARCH(Search!$E$6,$C347))),OR(Search!$E$7="All",Search!$E$7="",$D347=Search!$E$7),OR(Search!$E$8="",Search!$E$9="",AND($B347&lt;&gt;"",MOD($B347,1)&gt;=Search!$E$8,MOD($B347,1)&lt;=Search!$E$9))),1,0),0)</f>
        <v>0</v>
      </c>
      <c r="I347" s="79" t="n">
        <f aca="false">IF(H347&gt;N(H346),$E347,0)</f>
        <v>0</v>
      </c>
      <c r="J347" s="79" t="n">
        <f aca="false">IFERROR(IF(AND($A347&lt;&gt;"",$E347&lt;&gt;"",$A347&gt;=PeriodStart,$A347&lt;=PeriodEnd),$E347+ROW()/1000000,0),0)</f>
        <v>0</v>
      </c>
    </row>
    <row r="348" customFormat="false" ht="15" hidden="false" customHeight="false" outlineLevel="0" collapsed="false">
      <c r="A348" s="75"/>
      <c r="B348" s="76"/>
      <c r="C348" s="77"/>
      <c r="D348" s="77"/>
      <c r="E348" s="78"/>
      <c r="F348" s="77"/>
      <c r="G348" s="77"/>
      <c r="H348" s="79" t="n">
        <f aca="false">N(H347)+IFERROR(IF(AND($A348&lt;&gt;"",$E348&lt;&gt;"",$A348&gt;=IF(Search!$E$4="",0,Search!$E$4),$A348&lt;=IF(Search!$E$5="",99999,Search!$E$5),OR(Search!$E$6="",ISNUMBER(SEARCH(Search!$E$6,$C348))),OR(Search!$E$7="All",Search!$E$7="",$D348=Search!$E$7),OR(Search!$E$8="",Search!$E$9="",AND($B348&lt;&gt;"",MOD($B348,1)&gt;=Search!$E$8,MOD($B348,1)&lt;=Search!$E$9))),1,0),0)</f>
        <v>0</v>
      </c>
      <c r="I348" s="79" t="n">
        <f aca="false">IF(H348&gt;N(H347),$E348,0)</f>
        <v>0</v>
      </c>
      <c r="J348" s="79" t="n">
        <f aca="false">IFERROR(IF(AND($A348&lt;&gt;"",$E348&lt;&gt;"",$A348&gt;=PeriodStart,$A348&lt;=PeriodEnd),$E348+ROW()/1000000,0),0)</f>
        <v>0</v>
      </c>
    </row>
    <row r="349" customFormat="false" ht="15" hidden="false" customHeight="false" outlineLevel="0" collapsed="false">
      <c r="A349" s="75"/>
      <c r="B349" s="76"/>
      <c r="C349" s="77"/>
      <c r="D349" s="77"/>
      <c r="E349" s="78"/>
      <c r="F349" s="77"/>
      <c r="G349" s="77"/>
      <c r="H349" s="79" t="n">
        <f aca="false">N(H348)+IFERROR(IF(AND($A349&lt;&gt;"",$E349&lt;&gt;"",$A349&gt;=IF(Search!$E$4="",0,Search!$E$4),$A349&lt;=IF(Search!$E$5="",99999,Search!$E$5),OR(Search!$E$6="",ISNUMBER(SEARCH(Search!$E$6,$C349))),OR(Search!$E$7="All",Search!$E$7="",$D349=Search!$E$7),OR(Search!$E$8="",Search!$E$9="",AND($B349&lt;&gt;"",MOD($B349,1)&gt;=Search!$E$8,MOD($B349,1)&lt;=Search!$E$9))),1,0),0)</f>
        <v>0</v>
      </c>
      <c r="I349" s="79" t="n">
        <f aca="false">IF(H349&gt;N(H348),$E349,0)</f>
        <v>0</v>
      </c>
      <c r="J349" s="79" t="n">
        <f aca="false">IFERROR(IF(AND($A349&lt;&gt;"",$E349&lt;&gt;"",$A349&gt;=PeriodStart,$A349&lt;=PeriodEnd),$E349+ROW()/1000000,0),0)</f>
        <v>0</v>
      </c>
    </row>
    <row r="350" customFormat="false" ht="15" hidden="false" customHeight="false" outlineLevel="0" collapsed="false">
      <c r="A350" s="75"/>
      <c r="B350" s="76"/>
      <c r="C350" s="77"/>
      <c r="D350" s="77"/>
      <c r="E350" s="78"/>
      <c r="F350" s="77"/>
      <c r="G350" s="77"/>
      <c r="H350" s="79" t="n">
        <f aca="false">N(H349)+IFERROR(IF(AND($A350&lt;&gt;"",$E350&lt;&gt;"",$A350&gt;=IF(Search!$E$4="",0,Search!$E$4),$A350&lt;=IF(Search!$E$5="",99999,Search!$E$5),OR(Search!$E$6="",ISNUMBER(SEARCH(Search!$E$6,$C350))),OR(Search!$E$7="All",Search!$E$7="",$D350=Search!$E$7),OR(Search!$E$8="",Search!$E$9="",AND($B350&lt;&gt;"",MOD($B350,1)&gt;=Search!$E$8,MOD($B350,1)&lt;=Search!$E$9))),1,0),0)</f>
        <v>0</v>
      </c>
      <c r="I350" s="79" t="n">
        <f aca="false">IF(H350&gt;N(H349),$E350,0)</f>
        <v>0</v>
      </c>
      <c r="J350" s="79" t="n">
        <f aca="false">IFERROR(IF(AND($A350&lt;&gt;"",$E350&lt;&gt;"",$A350&gt;=PeriodStart,$A350&lt;=PeriodEnd),$E350+ROW()/1000000,0),0)</f>
        <v>0</v>
      </c>
    </row>
    <row r="351" customFormat="false" ht="15" hidden="false" customHeight="false" outlineLevel="0" collapsed="false">
      <c r="A351" s="75"/>
      <c r="B351" s="76"/>
      <c r="C351" s="77"/>
      <c r="D351" s="77"/>
      <c r="E351" s="78"/>
      <c r="F351" s="77"/>
      <c r="G351" s="77"/>
      <c r="H351" s="79" t="n">
        <f aca="false">N(H350)+IFERROR(IF(AND($A351&lt;&gt;"",$E351&lt;&gt;"",$A351&gt;=IF(Search!$E$4="",0,Search!$E$4),$A351&lt;=IF(Search!$E$5="",99999,Search!$E$5),OR(Search!$E$6="",ISNUMBER(SEARCH(Search!$E$6,$C351))),OR(Search!$E$7="All",Search!$E$7="",$D351=Search!$E$7),OR(Search!$E$8="",Search!$E$9="",AND($B351&lt;&gt;"",MOD($B351,1)&gt;=Search!$E$8,MOD($B351,1)&lt;=Search!$E$9))),1,0),0)</f>
        <v>0</v>
      </c>
      <c r="I351" s="79" t="n">
        <f aca="false">IF(H351&gt;N(H350),$E351,0)</f>
        <v>0</v>
      </c>
      <c r="J351" s="79" t="n">
        <f aca="false">IFERROR(IF(AND($A351&lt;&gt;"",$E351&lt;&gt;"",$A351&gt;=PeriodStart,$A351&lt;=PeriodEnd),$E351+ROW()/1000000,0),0)</f>
        <v>0</v>
      </c>
    </row>
    <row r="352" customFormat="false" ht="15" hidden="false" customHeight="false" outlineLevel="0" collapsed="false">
      <c r="A352" s="75"/>
      <c r="B352" s="76"/>
      <c r="C352" s="77"/>
      <c r="D352" s="77"/>
      <c r="E352" s="78"/>
      <c r="F352" s="77"/>
      <c r="G352" s="77"/>
      <c r="H352" s="79" t="n">
        <f aca="false">N(H351)+IFERROR(IF(AND($A352&lt;&gt;"",$E352&lt;&gt;"",$A352&gt;=IF(Search!$E$4="",0,Search!$E$4),$A352&lt;=IF(Search!$E$5="",99999,Search!$E$5),OR(Search!$E$6="",ISNUMBER(SEARCH(Search!$E$6,$C352))),OR(Search!$E$7="All",Search!$E$7="",$D352=Search!$E$7),OR(Search!$E$8="",Search!$E$9="",AND($B352&lt;&gt;"",MOD($B352,1)&gt;=Search!$E$8,MOD($B352,1)&lt;=Search!$E$9))),1,0),0)</f>
        <v>0</v>
      </c>
      <c r="I352" s="79" t="n">
        <f aca="false">IF(H352&gt;N(H351),$E352,0)</f>
        <v>0</v>
      </c>
      <c r="J352" s="79" t="n">
        <f aca="false">IFERROR(IF(AND($A352&lt;&gt;"",$E352&lt;&gt;"",$A352&gt;=PeriodStart,$A352&lt;=PeriodEnd),$E352+ROW()/1000000,0),0)</f>
        <v>0</v>
      </c>
    </row>
    <row r="353" customFormat="false" ht="15" hidden="false" customHeight="false" outlineLevel="0" collapsed="false">
      <c r="A353" s="75"/>
      <c r="B353" s="76"/>
      <c r="C353" s="77"/>
      <c r="D353" s="77"/>
      <c r="E353" s="78"/>
      <c r="F353" s="77"/>
      <c r="G353" s="77"/>
      <c r="H353" s="79" t="n">
        <f aca="false">N(H352)+IFERROR(IF(AND($A353&lt;&gt;"",$E353&lt;&gt;"",$A353&gt;=IF(Search!$E$4="",0,Search!$E$4),$A353&lt;=IF(Search!$E$5="",99999,Search!$E$5),OR(Search!$E$6="",ISNUMBER(SEARCH(Search!$E$6,$C353))),OR(Search!$E$7="All",Search!$E$7="",$D353=Search!$E$7),OR(Search!$E$8="",Search!$E$9="",AND($B353&lt;&gt;"",MOD($B353,1)&gt;=Search!$E$8,MOD($B353,1)&lt;=Search!$E$9))),1,0),0)</f>
        <v>0</v>
      </c>
      <c r="I353" s="79" t="n">
        <f aca="false">IF(H353&gt;N(H352),$E353,0)</f>
        <v>0</v>
      </c>
      <c r="J353" s="79" t="n">
        <f aca="false">IFERROR(IF(AND($A353&lt;&gt;"",$E353&lt;&gt;"",$A353&gt;=PeriodStart,$A353&lt;=PeriodEnd),$E353+ROW()/1000000,0),0)</f>
        <v>0</v>
      </c>
    </row>
    <row r="354" customFormat="false" ht="15" hidden="false" customHeight="false" outlineLevel="0" collapsed="false">
      <c r="A354" s="75"/>
      <c r="B354" s="76"/>
      <c r="C354" s="77"/>
      <c r="D354" s="77"/>
      <c r="E354" s="78"/>
      <c r="F354" s="77"/>
      <c r="G354" s="77"/>
      <c r="H354" s="79" t="n">
        <f aca="false">N(H353)+IFERROR(IF(AND($A354&lt;&gt;"",$E354&lt;&gt;"",$A354&gt;=IF(Search!$E$4="",0,Search!$E$4),$A354&lt;=IF(Search!$E$5="",99999,Search!$E$5),OR(Search!$E$6="",ISNUMBER(SEARCH(Search!$E$6,$C354))),OR(Search!$E$7="All",Search!$E$7="",$D354=Search!$E$7),OR(Search!$E$8="",Search!$E$9="",AND($B354&lt;&gt;"",MOD($B354,1)&gt;=Search!$E$8,MOD($B354,1)&lt;=Search!$E$9))),1,0),0)</f>
        <v>0</v>
      </c>
      <c r="I354" s="79" t="n">
        <f aca="false">IF(H354&gt;N(H353),$E354,0)</f>
        <v>0</v>
      </c>
      <c r="J354" s="79" t="n">
        <f aca="false">IFERROR(IF(AND($A354&lt;&gt;"",$E354&lt;&gt;"",$A354&gt;=PeriodStart,$A354&lt;=PeriodEnd),$E354+ROW()/1000000,0),0)</f>
        <v>0</v>
      </c>
    </row>
    <row r="355" customFormat="false" ht="15" hidden="false" customHeight="false" outlineLevel="0" collapsed="false">
      <c r="A355" s="75"/>
      <c r="B355" s="76"/>
      <c r="C355" s="77"/>
      <c r="D355" s="77"/>
      <c r="E355" s="78"/>
      <c r="F355" s="77"/>
      <c r="G355" s="77"/>
      <c r="H355" s="79" t="n">
        <f aca="false">N(H354)+IFERROR(IF(AND($A355&lt;&gt;"",$E355&lt;&gt;"",$A355&gt;=IF(Search!$E$4="",0,Search!$E$4),$A355&lt;=IF(Search!$E$5="",99999,Search!$E$5),OR(Search!$E$6="",ISNUMBER(SEARCH(Search!$E$6,$C355))),OR(Search!$E$7="All",Search!$E$7="",$D355=Search!$E$7),OR(Search!$E$8="",Search!$E$9="",AND($B355&lt;&gt;"",MOD($B355,1)&gt;=Search!$E$8,MOD($B355,1)&lt;=Search!$E$9))),1,0),0)</f>
        <v>0</v>
      </c>
      <c r="I355" s="79" t="n">
        <f aca="false">IF(H355&gt;N(H354),$E355,0)</f>
        <v>0</v>
      </c>
      <c r="J355" s="79" t="n">
        <f aca="false">IFERROR(IF(AND($A355&lt;&gt;"",$E355&lt;&gt;"",$A355&gt;=PeriodStart,$A355&lt;=PeriodEnd),$E355+ROW()/1000000,0),0)</f>
        <v>0</v>
      </c>
    </row>
    <row r="356" customFormat="false" ht="15" hidden="false" customHeight="false" outlineLevel="0" collapsed="false">
      <c r="A356" s="75"/>
      <c r="B356" s="76"/>
      <c r="C356" s="77"/>
      <c r="D356" s="77"/>
      <c r="E356" s="78"/>
      <c r="F356" s="77"/>
      <c r="G356" s="77"/>
      <c r="H356" s="79" t="n">
        <f aca="false">N(H355)+IFERROR(IF(AND($A356&lt;&gt;"",$E356&lt;&gt;"",$A356&gt;=IF(Search!$E$4="",0,Search!$E$4),$A356&lt;=IF(Search!$E$5="",99999,Search!$E$5),OR(Search!$E$6="",ISNUMBER(SEARCH(Search!$E$6,$C356))),OR(Search!$E$7="All",Search!$E$7="",$D356=Search!$E$7),OR(Search!$E$8="",Search!$E$9="",AND($B356&lt;&gt;"",MOD($B356,1)&gt;=Search!$E$8,MOD($B356,1)&lt;=Search!$E$9))),1,0),0)</f>
        <v>0</v>
      </c>
      <c r="I356" s="79" t="n">
        <f aca="false">IF(H356&gt;N(H355),$E356,0)</f>
        <v>0</v>
      </c>
      <c r="J356" s="79" t="n">
        <f aca="false">IFERROR(IF(AND($A356&lt;&gt;"",$E356&lt;&gt;"",$A356&gt;=PeriodStart,$A356&lt;=PeriodEnd),$E356+ROW()/1000000,0),0)</f>
        <v>0</v>
      </c>
    </row>
    <row r="357" customFormat="false" ht="15" hidden="false" customHeight="false" outlineLevel="0" collapsed="false">
      <c r="A357" s="75"/>
      <c r="B357" s="76"/>
      <c r="C357" s="77"/>
      <c r="D357" s="77"/>
      <c r="E357" s="78"/>
      <c r="F357" s="77"/>
      <c r="G357" s="77"/>
      <c r="H357" s="79" t="n">
        <f aca="false">N(H356)+IFERROR(IF(AND($A357&lt;&gt;"",$E357&lt;&gt;"",$A357&gt;=IF(Search!$E$4="",0,Search!$E$4),$A357&lt;=IF(Search!$E$5="",99999,Search!$E$5),OR(Search!$E$6="",ISNUMBER(SEARCH(Search!$E$6,$C357))),OR(Search!$E$7="All",Search!$E$7="",$D357=Search!$E$7),OR(Search!$E$8="",Search!$E$9="",AND($B357&lt;&gt;"",MOD($B357,1)&gt;=Search!$E$8,MOD($B357,1)&lt;=Search!$E$9))),1,0),0)</f>
        <v>0</v>
      </c>
      <c r="I357" s="79" t="n">
        <f aca="false">IF(H357&gt;N(H356),$E357,0)</f>
        <v>0</v>
      </c>
      <c r="J357" s="79" t="n">
        <f aca="false">IFERROR(IF(AND($A357&lt;&gt;"",$E357&lt;&gt;"",$A357&gt;=PeriodStart,$A357&lt;=PeriodEnd),$E357+ROW()/1000000,0),0)</f>
        <v>0</v>
      </c>
    </row>
    <row r="358" customFormat="false" ht="15" hidden="false" customHeight="false" outlineLevel="0" collapsed="false">
      <c r="A358" s="75"/>
      <c r="B358" s="76"/>
      <c r="C358" s="77"/>
      <c r="D358" s="77"/>
      <c r="E358" s="78"/>
      <c r="F358" s="77"/>
      <c r="G358" s="77"/>
      <c r="H358" s="79" t="n">
        <f aca="false">N(H357)+IFERROR(IF(AND($A358&lt;&gt;"",$E358&lt;&gt;"",$A358&gt;=IF(Search!$E$4="",0,Search!$E$4),$A358&lt;=IF(Search!$E$5="",99999,Search!$E$5),OR(Search!$E$6="",ISNUMBER(SEARCH(Search!$E$6,$C358))),OR(Search!$E$7="All",Search!$E$7="",$D358=Search!$E$7),OR(Search!$E$8="",Search!$E$9="",AND($B358&lt;&gt;"",MOD($B358,1)&gt;=Search!$E$8,MOD($B358,1)&lt;=Search!$E$9))),1,0),0)</f>
        <v>0</v>
      </c>
      <c r="I358" s="79" t="n">
        <f aca="false">IF(H358&gt;N(H357),$E358,0)</f>
        <v>0</v>
      </c>
      <c r="J358" s="79" t="n">
        <f aca="false">IFERROR(IF(AND($A358&lt;&gt;"",$E358&lt;&gt;"",$A358&gt;=PeriodStart,$A358&lt;=PeriodEnd),$E358+ROW()/1000000,0),0)</f>
        <v>0</v>
      </c>
    </row>
    <row r="359" customFormat="false" ht="15" hidden="false" customHeight="false" outlineLevel="0" collapsed="false">
      <c r="A359" s="75"/>
      <c r="B359" s="76"/>
      <c r="C359" s="77"/>
      <c r="D359" s="77"/>
      <c r="E359" s="78"/>
      <c r="F359" s="77"/>
      <c r="G359" s="77"/>
      <c r="H359" s="79" t="n">
        <f aca="false">N(H358)+IFERROR(IF(AND($A359&lt;&gt;"",$E359&lt;&gt;"",$A359&gt;=IF(Search!$E$4="",0,Search!$E$4),$A359&lt;=IF(Search!$E$5="",99999,Search!$E$5),OR(Search!$E$6="",ISNUMBER(SEARCH(Search!$E$6,$C359))),OR(Search!$E$7="All",Search!$E$7="",$D359=Search!$E$7),OR(Search!$E$8="",Search!$E$9="",AND($B359&lt;&gt;"",MOD($B359,1)&gt;=Search!$E$8,MOD($B359,1)&lt;=Search!$E$9))),1,0),0)</f>
        <v>0</v>
      </c>
      <c r="I359" s="79" t="n">
        <f aca="false">IF(H359&gt;N(H358),$E359,0)</f>
        <v>0</v>
      </c>
      <c r="J359" s="79" t="n">
        <f aca="false">IFERROR(IF(AND($A359&lt;&gt;"",$E359&lt;&gt;"",$A359&gt;=PeriodStart,$A359&lt;=PeriodEnd),$E359+ROW()/1000000,0),0)</f>
        <v>0</v>
      </c>
    </row>
    <row r="360" customFormat="false" ht="15" hidden="false" customHeight="false" outlineLevel="0" collapsed="false">
      <c r="A360" s="75"/>
      <c r="B360" s="76"/>
      <c r="C360" s="77"/>
      <c r="D360" s="77"/>
      <c r="E360" s="78"/>
      <c r="F360" s="77"/>
      <c r="G360" s="77"/>
      <c r="H360" s="79" t="n">
        <f aca="false">N(H359)+IFERROR(IF(AND($A360&lt;&gt;"",$E360&lt;&gt;"",$A360&gt;=IF(Search!$E$4="",0,Search!$E$4),$A360&lt;=IF(Search!$E$5="",99999,Search!$E$5),OR(Search!$E$6="",ISNUMBER(SEARCH(Search!$E$6,$C360))),OR(Search!$E$7="All",Search!$E$7="",$D360=Search!$E$7),OR(Search!$E$8="",Search!$E$9="",AND($B360&lt;&gt;"",MOD($B360,1)&gt;=Search!$E$8,MOD($B360,1)&lt;=Search!$E$9))),1,0),0)</f>
        <v>0</v>
      </c>
      <c r="I360" s="79" t="n">
        <f aca="false">IF(H360&gt;N(H359),$E360,0)</f>
        <v>0</v>
      </c>
      <c r="J360" s="79" t="n">
        <f aca="false">IFERROR(IF(AND($A360&lt;&gt;"",$E360&lt;&gt;"",$A360&gt;=PeriodStart,$A360&lt;=PeriodEnd),$E360+ROW()/1000000,0),0)</f>
        <v>0</v>
      </c>
    </row>
    <row r="361" customFormat="false" ht="15" hidden="false" customHeight="false" outlineLevel="0" collapsed="false">
      <c r="A361" s="75"/>
      <c r="B361" s="76"/>
      <c r="C361" s="77"/>
      <c r="D361" s="77"/>
      <c r="E361" s="78"/>
      <c r="F361" s="77"/>
      <c r="G361" s="77"/>
      <c r="H361" s="79" t="n">
        <f aca="false">N(H360)+IFERROR(IF(AND($A361&lt;&gt;"",$E361&lt;&gt;"",$A361&gt;=IF(Search!$E$4="",0,Search!$E$4),$A361&lt;=IF(Search!$E$5="",99999,Search!$E$5),OR(Search!$E$6="",ISNUMBER(SEARCH(Search!$E$6,$C361))),OR(Search!$E$7="All",Search!$E$7="",$D361=Search!$E$7),OR(Search!$E$8="",Search!$E$9="",AND($B361&lt;&gt;"",MOD($B361,1)&gt;=Search!$E$8,MOD($B361,1)&lt;=Search!$E$9))),1,0),0)</f>
        <v>0</v>
      </c>
      <c r="I361" s="79" t="n">
        <f aca="false">IF(H361&gt;N(H360),$E361,0)</f>
        <v>0</v>
      </c>
      <c r="J361" s="79" t="n">
        <f aca="false">IFERROR(IF(AND($A361&lt;&gt;"",$E361&lt;&gt;"",$A361&gt;=PeriodStart,$A361&lt;=PeriodEnd),$E361+ROW()/1000000,0),0)</f>
        <v>0</v>
      </c>
    </row>
    <row r="362" customFormat="false" ht="15" hidden="false" customHeight="false" outlineLevel="0" collapsed="false">
      <c r="A362" s="75"/>
      <c r="B362" s="76"/>
      <c r="C362" s="77"/>
      <c r="D362" s="77"/>
      <c r="E362" s="78"/>
      <c r="F362" s="77"/>
      <c r="G362" s="77"/>
      <c r="H362" s="79" t="n">
        <f aca="false">N(H361)+IFERROR(IF(AND($A362&lt;&gt;"",$E362&lt;&gt;"",$A362&gt;=IF(Search!$E$4="",0,Search!$E$4),$A362&lt;=IF(Search!$E$5="",99999,Search!$E$5),OR(Search!$E$6="",ISNUMBER(SEARCH(Search!$E$6,$C362))),OR(Search!$E$7="All",Search!$E$7="",$D362=Search!$E$7),OR(Search!$E$8="",Search!$E$9="",AND($B362&lt;&gt;"",MOD($B362,1)&gt;=Search!$E$8,MOD($B362,1)&lt;=Search!$E$9))),1,0),0)</f>
        <v>0</v>
      </c>
      <c r="I362" s="79" t="n">
        <f aca="false">IF(H362&gt;N(H361),$E362,0)</f>
        <v>0</v>
      </c>
      <c r="J362" s="79" t="n">
        <f aca="false">IFERROR(IF(AND($A362&lt;&gt;"",$E362&lt;&gt;"",$A362&gt;=PeriodStart,$A362&lt;=PeriodEnd),$E362+ROW()/1000000,0),0)</f>
        <v>0</v>
      </c>
    </row>
    <row r="363" customFormat="false" ht="15" hidden="false" customHeight="false" outlineLevel="0" collapsed="false">
      <c r="A363" s="75"/>
      <c r="B363" s="76"/>
      <c r="C363" s="77"/>
      <c r="D363" s="77"/>
      <c r="E363" s="78"/>
      <c r="F363" s="77"/>
      <c r="G363" s="77"/>
      <c r="H363" s="79" t="n">
        <f aca="false">N(H362)+IFERROR(IF(AND($A363&lt;&gt;"",$E363&lt;&gt;"",$A363&gt;=IF(Search!$E$4="",0,Search!$E$4),$A363&lt;=IF(Search!$E$5="",99999,Search!$E$5),OR(Search!$E$6="",ISNUMBER(SEARCH(Search!$E$6,$C363))),OR(Search!$E$7="All",Search!$E$7="",$D363=Search!$E$7),OR(Search!$E$8="",Search!$E$9="",AND($B363&lt;&gt;"",MOD($B363,1)&gt;=Search!$E$8,MOD($B363,1)&lt;=Search!$E$9))),1,0),0)</f>
        <v>0</v>
      </c>
      <c r="I363" s="79" t="n">
        <f aca="false">IF(H363&gt;N(H362),$E363,0)</f>
        <v>0</v>
      </c>
      <c r="J363" s="79" t="n">
        <f aca="false">IFERROR(IF(AND($A363&lt;&gt;"",$E363&lt;&gt;"",$A363&gt;=PeriodStart,$A363&lt;=PeriodEnd),$E363+ROW()/1000000,0),0)</f>
        <v>0</v>
      </c>
    </row>
    <row r="364" customFormat="false" ht="15" hidden="false" customHeight="false" outlineLevel="0" collapsed="false">
      <c r="A364" s="75"/>
      <c r="B364" s="76"/>
      <c r="C364" s="77"/>
      <c r="D364" s="77"/>
      <c r="E364" s="78"/>
      <c r="F364" s="77"/>
      <c r="G364" s="77"/>
      <c r="H364" s="79" t="n">
        <f aca="false">N(H363)+IFERROR(IF(AND($A364&lt;&gt;"",$E364&lt;&gt;"",$A364&gt;=IF(Search!$E$4="",0,Search!$E$4),$A364&lt;=IF(Search!$E$5="",99999,Search!$E$5),OR(Search!$E$6="",ISNUMBER(SEARCH(Search!$E$6,$C364))),OR(Search!$E$7="All",Search!$E$7="",$D364=Search!$E$7),OR(Search!$E$8="",Search!$E$9="",AND($B364&lt;&gt;"",MOD($B364,1)&gt;=Search!$E$8,MOD($B364,1)&lt;=Search!$E$9))),1,0),0)</f>
        <v>0</v>
      </c>
      <c r="I364" s="79" t="n">
        <f aca="false">IF(H364&gt;N(H363),$E364,0)</f>
        <v>0</v>
      </c>
      <c r="J364" s="79" t="n">
        <f aca="false">IFERROR(IF(AND($A364&lt;&gt;"",$E364&lt;&gt;"",$A364&gt;=PeriodStart,$A364&lt;=PeriodEnd),$E364+ROW()/1000000,0),0)</f>
        <v>0</v>
      </c>
    </row>
    <row r="365" customFormat="false" ht="15" hidden="false" customHeight="false" outlineLevel="0" collapsed="false">
      <c r="A365" s="75"/>
      <c r="B365" s="76"/>
      <c r="C365" s="77"/>
      <c r="D365" s="77"/>
      <c r="E365" s="78"/>
      <c r="F365" s="77"/>
      <c r="G365" s="77"/>
      <c r="H365" s="79" t="n">
        <f aca="false">N(H364)+IFERROR(IF(AND($A365&lt;&gt;"",$E365&lt;&gt;"",$A365&gt;=IF(Search!$E$4="",0,Search!$E$4),$A365&lt;=IF(Search!$E$5="",99999,Search!$E$5),OR(Search!$E$6="",ISNUMBER(SEARCH(Search!$E$6,$C365))),OR(Search!$E$7="All",Search!$E$7="",$D365=Search!$E$7),OR(Search!$E$8="",Search!$E$9="",AND($B365&lt;&gt;"",MOD($B365,1)&gt;=Search!$E$8,MOD($B365,1)&lt;=Search!$E$9))),1,0),0)</f>
        <v>0</v>
      </c>
      <c r="I365" s="79" t="n">
        <f aca="false">IF(H365&gt;N(H364),$E365,0)</f>
        <v>0</v>
      </c>
      <c r="J365" s="79" t="n">
        <f aca="false">IFERROR(IF(AND($A365&lt;&gt;"",$E365&lt;&gt;"",$A365&gt;=PeriodStart,$A365&lt;=PeriodEnd),$E365+ROW()/1000000,0),0)</f>
        <v>0</v>
      </c>
    </row>
    <row r="366" customFormat="false" ht="15" hidden="false" customHeight="false" outlineLevel="0" collapsed="false">
      <c r="A366" s="75"/>
      <c r="B366" s="76"/>
      <c r="C366" s="77"/>
      <c r="D366" s="77"/>
      <c r="E366" s="78"/>
      <c r="F366" s="77"/>
      <c r="G366" s="77"/>
      <c r="H366" s="79" t="n">
        <f aca="false">N(H365)+IFERROR(IF(AND($A366&lt;&gt;"",$E366&lt;&gt;"",$A366&gt;=IF(Search!$E$4="",0,Search!$E$4),$A366&lt;=IF(Search!$E$5="",99999,Search!$E$5),OR(Search!$E$6="",ISNUMBER(SEARCH(Search!$E$6,$C366))),OR(Search!$E$7="All",Search!$E$7="",$D366=Search!$E$7),OR(Search!$E$8="",Search!$E$9="",AND($B366&lt;&gt;"",MOD($B366,1)&gt;=Search!$E$8,MOD($B366,1)&lt;=Search!$E$9))),1,0),0)</f>
        <v>0</v>
      </c>
      <c r="I366" s="79" t="n">
        <f aca="false">IF(H366&gt;N(H365),$E366,0)</f>
        <v>0</v>
      </c>
      <c r="J366" s="79" t="n">
        <f aca="false">IFERROR(IF(AND($A366&lt;&gt;"",$E366&lt;&gt;"",$A366&gt;=PeriodStart,$A366&lt;=PeriodEnd),$E366+ROW()/1000000,0),0)</f>
        <v>0</v>
      </c>
    </row>
    <row r="367" customFormat="false" ht="15" hidden="false" customHeight="false" outlineLevel="0" collapsed="false">
      <c r="A367" s="75"/>
      <c r="B367" s="76"/>
      <c r="C367" s="77"/>
      <c r="D367" s="77"/>
      <c r="E367" s="78"/>
      <c r="F367" s="77"/>
      <c r="G367" s="77"/>
      <c r="H367" s="79" t="n">
        <f aca="false">N(H366)+IFERROR(IF(AND($A367&lt;&gt;"",$E367&lt;&gt;"",$A367&gt;=IF(Search!$E$4="",0,Search!$E$4),$A367&lt;=IF(Search!$E$5="",99999,Search!$E$5),OR(Search!$E$6="",ISNUMBER(SEARCH(Search!$E$6,$C367))),OR(Search!$E$7="All",Search!$E$7="",$D367=Search!$E$7),OR(Search!$E$8="",Search!$E$9="",AND($B367&lt;&gt;"",MOD($B367,1)&gt;=Search!$E$8,MOD($B367,1)&lt;=Search!$E$9))),1,0),0)</f>
        <v>0</v>
      </c>
      <c r="I367" s="79" t="n">
        <f aca="false">IF(H367&gt;N(H366),$E367,0)</f>
        <v>0</v>
      </c>
      <c r="J367" s="79" t="n">
        <f aca="false">IFERROR(IF(AND($A367&lt;&gt;"",$E367&lt;&gt;"",$A367&gt;=PeriodStart,$A367&lt;=PeriodEnd),$E367+ROW()/1000000,0),0)</f>
        <v>0</v>
      </c>
    </row>
    <row r="368" customFormat="false" ht="15" hidden="false" customHeight="false" outlineLevel="0" collapsed="false">
      <c r="A368" s="75"/>
      <c r="B368" s="76"/>
      <c r="C368" s="77"/>
      <c r="D368" s="77"/>
      <c r="E368" s="78"/>
      <c r="F368" s="77"/>
      <c r="G368" s="77"/>
      <c r="H368" s="79" t="n">
        <f aca="false">N(H367)+IFERROR(IF(AND($A368&lt;&gt;"",$E368&lt;&gt;"",$A368&gt;=IF(Search!$E$4="",0,Search!$E$4),$A368&lt;=IF(Search!$E$5="",99999,Search!$E$5),OR(Search!$E$6="",ISNUMBER(SEARCH(Search!$E$6,$C368))),OR(Search!$E$7="All",Search!$E$7="",$D368=Search!$E$7),OR(Search!$E$8="",Search!$E$9="",AND($B368&lt;&gt;"",MOD($B368,1)&gt;=Search!$E$8,MOD($B368,1)&lt;=Search!$E$9))),1,0),0)</f>
        <v>0</v>
      </c>
      <c r="I368" s="79" t="n">
        <f aca="false">IF(H368&gt;N(H367),$E368,0)</f>
        <v>0</v>
      </c>
      <c r="J368" s="79" t="n">
        <f aca="false">IFERROR(IF(AND($A368&lt;&gt;"",$E368&lt;&gt;"",$A368&gt;=PeriodStart,$A368&lt;=PeriodEnd),$E368+ROW()/1000000,0),0)</f>
        <v>0</v>
      </c>
    </row>
    <row r="369" customFormat="false" ht="15" hidden="false" customHeight="false" outlineLevel="0" collapsed="false">
      <c r="A369" s="75"/>
      <c r="B369" s="76"/>
      <c r="C369" s="77"/>
      <c r="D369" s="77"/>
      <c r="E369" s="78"/>
      <c r="F369" s="77"/>
      <c r="G369" s="77"/>
      <c r="H369" s="79" t="n">
        <f aca="false">N(H368)+IFERROR(IF(AND($A369&lt;&gt;"",$E369&lt;&gt;"",$A369&gt;=IF(Search!$E$4="",0,Search!$E$4),$A369&lt;=IF(Search!$E$5="",99999,Search!$E$5),OR(Search!$E$6="",ISNUMBER(SEARCH(Search!$E$6,$C369))),OR(Search!$E$7="All",Search!$E$7="",$D369=Search!$E$7),OR(Search!$E$8="",Search!$E$9="",AND($B369&lt;&gt;"",MOD($B369,1)&gt;=Search!$E$8,MOD($B369,1)&lt;=Search!$E$9))),1,0),0)</f>
        <v>0</v>
      </c>
      <c r="I369" s="79" t="n">
        <f aca="false">IF(H369&gt;N(H368),$E369,0)</f>
        <v>0</v>
      </c>
      <c r="J369" s="79" t="n">
        <f aca="false">IFERROR(IF(AND($A369&lt;&gt;"",$E369&lt;&gt;"",$A369&gt;=PeriodStart,$A369&lt;=PeriodEnd),$E369+ROW()/1000000,0),0)</f>
        <v>0</v>
      </c>
    </row>
    <row r="370" customFormat="false" ht="15" hidden="false" customHeight="false" outlineLevel="0" collapsed="false">
      <c r="A370" s="75"/>
      <c r="B370" s="76"/>
      <c r="C370" s="77"/>
      <c r="D370" s="77"/>
      <c r="E370" s="78"/>
      <c r="F370" s="77"/>
      <c r="G370" s="77"/>
      <c r="H370" s="79" t="n">
        <f aca="false">N(H369)+IFERROR(IF(AND($A370&lt;&gt;"",$E370&lt;&gt;"",$A370&gt;=IF(Search!$E$4="",0,Search!$E$4),$A370&lt;=IF(Search!$E$5="",99999,Search!$E$5),OR(Search!$E$6="",ISNUMBER(SEARCH(Search!$E$6,$C370))),OR(Search!$E$7="All",Search!$E$7="",$D370=Search!$E$7),OR(Search!$E$8="",Search!$E$9="",AND($B370&lt;&gt;"",MOD($B370,1)&gt;=Search!$E$8,MOD($B370,1)&lt;=Search!$E$9))),1,0),0)</f>
        <v>0</v>
      </c>
      <c r="I370" s="79" t="n">
        <f aca="false">IF(H370&gt;N(H369),$E370,0)</f>
        <v>0</v>
      </c>
      <c r="J370" s="79" t="n">
        <f aca="false">IFERROR(IF(AND($A370&lt;&gt;"",$E370&lt;&gt;"",$A370&gt;=PeriodStart,$A370&lt;=PeriodEnd),$E370+ROW()/1000000,0),0)</f>
        <v>0</v>
      </c>
    </row>
    <row r="371" customFormat="false" ht="15" hidden="false" customHeight="false" outlineLevel="0" collapsed="false">
      <c r="A371" s="75"/>
      <c r="B371" s="76"/>
      <c r="C371" s="77"/>
      <c r="D371" s="77"/>
      <c r="E371" s="78"/>
      <c r="F371" s="77"/>
      <c r="G371" s="77"/>
      <c r="H371" s="79" t="n">
        <f aca="false">N(H370)+IFERROR(IF(AND($A371&lt;&gt;"",$E371&lt;&gt;"",$A371&gt;=IF(Search!$E$4="",0,Search!$E$4),$A371&lt;=IF(Search!$E$5="",99999,Search!$E$5),OR(Search!$E$6="",ISNUMBER(SEARCH(Search!$E$6,$C371))),OR(Search!$E$7="All",Search!$E$7="",$D371=Search!$E$7),OR(Search!$E$8="",Search!$E$9="",AND($B371&lt;&gt;"",MOD($B371,1)&gt;=Search!$E$8,MOD($B371,1)&lt;=Search!$E$9))),1,0),0)</f>
        <v>0</v>
      </c>
      <c r="I371" s="79" t="n">
        <f aca="false">IF(H371&gt;N(H370),$E371,0)</f>
        <v>0</v>
      </c>
      <c r="J371" s="79" t="n">
        <f aca="false">IFERROR(IF(AND($A371&lt;&gt;"",$E371&lt;&gt;"",$A371&gt;=PeriodStart,$A371&lt;=PeriodEnd),$E371+ROW()/1000000,0),0)</f>
        <v>0</v>
      </c>
    </row>
    <row r="372" customFormat="false" ht="15" hidden="false" customHeight="false" outlineLevel="0" collapsed="false">
      <c r="A372" s="75"/>
      <c r="B372" s="76"/>
      <c r="C372" s="77"/>
      <c r="D372" s="77"/>
      <c r="E372" s="78"/>
      <c r="F372" s="77"/>
      <c r="G372" s="77"/>
      <c r="H372" s="79" t="n">
        <f aca="false">N(H371)+IFERROR(IF(AND($A372&lt;&gt;"",$E372&lt;&gt;"",$A372&gt;=IF(Search!$E$4="",0,Search!$E$4),$A372&lt;=IF(Search!$E$5="",99999,Search!$E$5),OR(Search!$E$6="",ISNUMBER(SEARCH(Search!$E$6,$C372))),OR(Search!$E$7="All",Search!$E$7="",$D372=Search!$E$7),OR(Search!$E$8="",Search!$E$9="",AND($B372&lt;&gt;"",MOD($B372,1)&gt;=Search!$E$8,MOD($B372,1)&lt;=Search!$E$9))),1,0),0)</f>
        <v>0</v>
      </c>
      <c r="I372" s="79" t="n">
        <f aca="false">IF(H372&gt;N(H371),$E372,0)</f>
        <v>0</v>
      </c>
      <c r="J372" s="79" t="n">
        <f aca="false">IFERROR(IF(AND($A372&lt;&gt;"",$E372&lt;&gt;"",$A372&gt;=PeriodStart,$A372&lt;=PeriodEnd),$E372+ROW()/1000000,0),0)</f>
        <v>0</v>
      </c>
    </row>
    <row r="373" customFormat="false" ht="15" hidden="false" customHeight="false" outlineLevel="0" collapsed="false">
      <c r="A373" s="75"/>
      <c r="B373" s="76"/>
      <c r="C373" s="77"/>
      <c r="D373" s="77"/>
      <c r="E373" s="78"/>
      <c r="F373" s="77"/>
      <c r="G373" s="77"/>
      <c r="H373" s="79" t="n">
        <f aca="false">N(H372)+IFERROR(IF(AND($A373&lt;&gt;"",$E373&lt;&gt;"",$A373&gt;=IF(Search!$E$4="",0,Search!$E$4),$A373&lt;=IF(Search!$E$5="",99999,Search!$E$5),OR(Search!$E$6="",ISNUMBER(SEARCH(Search!$E$6,$C373))),OR(Search!$E$7="All",Search!$E$7="",$D373=Search!$E$7),OR(Search!$E$8="",Search!$E$9="",AND($B373&lt;&gt;"",MOD($B373,1)&gt;=Search!$E$8,MOD($B373,1)&lt;=Search!$E$9))),1,0),0)</f>
        <v>0</v>
      </c>
      <c r="I373" s="79" t="n">
        <f aca="false">IF(H373&gt;N(H372),$E373,0)</f>
        <v>0</v>
      </c>
      <c r="J373" s="79" t="n">
        <f aca="false">IFERROR(IF(AND($A373&lt;&gt;"",$E373&lt;&gt;"",$A373&gt;=PeriodStart,$A373&lt;=PeriodEnd),$E373+ROW()/1000000,0),0)</f>
        <v>0</v>
      </c>
    </row>
    <row r="374" customFormat="false" ht="15" hidden="false" customHeight="false" outlineLevel="0" collapsed="false">
      <c r="A374" s="75"/>
      <c r="B374" s="76"/>
      <c r="C374" s="77"/>
      <c r="D374" s="77"/>
      <c r="E374" s="78"/>
      <c r="F374" s="77"/>
      <c r="G374" s="77"/>
      <c r="H374" s="79" t="n">
        <f aca="false">N(H373)+IFERROR(IF(AND($A374&lt;&gt;"",$E374&lt;&gt;"",$A374&gt;=IF(Search!$E$4="",0,Search!$E$4),$A374&lt;=IF(Search!$E$5="",99999,Search!$E$5),OR(Search!$E$6="",ISNUMBER(SEARCH(Search!$E$6,$C374))),OR(Search!$E$7="All",Search!$E$7="",$D374=Search!$E$7),OR(Search!$E$8="",Search!$E$9="",AND($B374&lt;&gt;"",MOD($B374,1)&gt;=Search!$E$8,MOD($B374,1)&lt;=Search!$E$9))),1,0),0)</f>
        <v>0</v>
      </c>
      <c r="I374" s="79" t="n">
        <f aca="false">IF(H374&gt;N(H373),$E374,0)</f>
        <v>0</v>
      </c>
      <c r="J374" s="79" t="n">
        <f aca="false">IFERROR(IF(AND($A374&lt;&gt;"",$E374&lt;&gt;"",$A374&gt;=PeriodStart,$A374&lt;=PeriodEnd),$E374+ROW()/1000000,0),0)</f>
        <v>0</v>
      </c>
    </row>
    <row r="375" customFormat="false" ht="15" hidden="false" customHeight="false" outlineLevel="0" collapsed="false">
      <c r="A375" s="75"/>
      <c r="B375" s="76"/>
      <c r="C375" s="77"/>
      <c r="D375" s="77"/>
      <c r="E375" s="78"/>
      <c r="F375" s="77"/>
      <c r="G375" s="77"/>
      <c r="H375" s="79" t="n">
        <f aca="false">N(H374)+IFERROR(IF(AND($A375&lt;&gt;"",$E375&lt;&gt;"",$A375&gt;=IF(Search!$E$4="",0,Search!$E$4),$A375&lt;=IF(Search!$E$5="",99999,Search!$E$5),OR(Search!$E$6="",ISNUMBER(SEARCH(Search!$E$6,$C375))),OR(Search!$E$7="All",Search!$E$7="",$D375=Search!$E$7),OR(Search!$E$8="",Search!$E$9="",AND($B375&lt;&gt;"",MOD($B375,1)&gt;=Search!$E$8,MOD($B375,1)&lt;=Search!$E$9))),1,0),0)</f>
        <v>0</v>
      </c>
      <c r="I375" s="79" t="n">
        <f aca="false">IF(H375&gt;N(H374),$E375,0)</f>
        <v>0</v>
      </c>
      <c r="J375" s="79" t="n">
        <f aca="false">IFERROR(IF(AND($A375&lt;&gt;"",$E375&lt;&gt;"",$A375&gt;=PeriodStart,$A375&lt;=PeriodEnd),$E375+ROW()/1000000,0),0)</f>
        <v>0</v>
      </c>
    </row>
    <row r="376" customFormat="false" ht="15" hidden="false" customHeight="false" outlineLevel="0" collapsed="false">
      <c r="A376" s="75"/>
      <c r="B376" s="76"/>
      <c r="C376" s="77"/>
      <c r="D376" s="77"/>
      <c r="E376" s="78"/>
      <c r="F376" s="77"/>
      <c r="G376" s="77"/>
      <c r="H376" s="79" t="n">
        <f aca="false">N(H375)+IFERROR(IF(AND($A376&lt;&gt;"",$E376&lt;&gt;"",$A376&gt;=IF(Search!$E$4="",0,Search!$E$4),$A376&lt;=IF(Search!$E$5="",99999,Search!$E$5),OR(Search!$E$6="",ISNUMBER(SEARCH(Search!$E$6,$C376))),OR(Search!$E$7="All",Search!$E$7="",$D376=Search!$E$7),OR(Search!$E$8="",Search!$E$9="",AND($B376&lt;&gt;"",MOD($B376,1)&gt;=Search!$E$8,MOD($B376,1)&lt;=Search!$E$9))),1,0),0)</f>
        <v>0</v>
      </c>
      <c r="I376" s="79" t="n">
        <f aca="false">IF(H376&gt;N(H375),$E376,0)</f>
        <v>0</v>
      </c>
      <c r="J376" s="79" t="n">
        <f aca="false">IFERROR(IF(AND($A376&lt;&gt;"",$E376&lt;&gt;"",$A376&gt;=PeriodStart,$A376&lt;=PeriodEnd),$E376+ROW()/1000000,0),0)</f>
        <v>0</v>
      </c>
    </row>
    <row r="377" customFormat="false" ht="15" hidden="false" customHeight="false" outlineLevel="0" collapsed="false">
      <c r="A377" s="75"/>
      <c r="B377" s="76"/>
      <c r="C377" s="77"/>
      <c r="D377" s="77"/>
      <c r="E377" s="78"/>
      <c r="F377" s="77"/>
      <c r="G377" s="77"/>
      <c r="H377" s="79" t="n">
        <f aca="false">N(H376)+IFERROR(IF(AND($A377&lt;&gt;"",$E377&lt;&gt;"",$A377&gt;=IF(Search!$E$4="",0,Search!$E$4),$A377&lt;=IF(Search!$E$5="",99999,Search!$E$5),OR(Search!$E$6="",ISNUMBER(SEARCH(Search!$E$6,$C377))),OR(Search!$E$7="All",Search!$E$7="",$D377=Search!$E$7),OR(Search!$E$8="",Search!$E$9="",AND($B377&lt;&gt;"",MOD($B377,1)&gt;=Search!$E$8,MOD($B377,1)&lt;=Search!$E$9))),1,0),0)</f>
        <v>0</v>
      </c>
      <c r="I377" s="79" t="n">
        <f aca="false">IF(H377&gt;N(H376),$E377,0)</f>
        <v>0</v>
      </c>
      <c r="J377" s="79" t="n">
        <f aca="false">IFERROR(IF(AND($A377&lt;&gt;"",$E377&lt;&gt;"",$A377&gt;=PeriodStart,$A377&lt;=PeriodEnd),$E377+ROW()/1000000,0),0)</f>
        <v>0</v>
      </c>
    </row>
    <row r="378" customFormat="false" ht="15" hidden="false" customHeight="false" outlineLevel="0" collapsed="false">
      <c r="A378" s="75"/>
      <c r="B378" s="76"/>
      <c r="C378" s="77"/>
      <c r="D378" s="77"/>
      <c r="E378" s="78"/>
      <c r="F378" s="77"/>
      <c r="G378" s="77"/>
      <c r="H378" s="79" t="n">
        <f aca="false">N(H377)+IFERROR(IF(AND($A378&lt;&gt;"",$E378&lt;&gt;"",$A378&gt;=IF(Search!$E$4="",0,Search!$E$4),$A378&lt;=IF(Search!$E$5="",99999,Search!$E$5),OR(Search!$E$6="",ISNUMBER(SEARCH(Search!$E$6,$C378))),OR(Search!$E$7="All",Search!$E$7="",$D378=Search!$E$7),OR(Search!$E$8="",Search!$E$9="",AND($B378&lt;&gt;"",MOD($B378,1)&gt;=Search!$E$8,MOD($B378,1)&lt;=Search!$E$9))),1,0),0)</f>
        <v>0</v>
      </c>
      <c r="I378" s="79" t="n">
        <f aca="false">IF(H378&gt;N(H377),$E378,0)</f>
        <v>0</v>
      </c>
      <c r="J378" s="79" t="n">
        <f aca="false">IFERROR(IF(AND($A378&lt;&gt;"",$E378&lt;&gt;"",$A378&gt;=PeriodStart,$A378&lt;=PeriodEnd),$E378+ROW()/1000000,0),0)</f>
        <v>0</v>
      </c>
    </row>
    <row r="379" customFormat="false" ht="15" hidden="false" customHeight="false" outlineLevel="0" collapsed="false">
      <c r="A379" s="75"/>
      <c r="B379" s="76"/>
      <c r="C379" s="77"/>
      <c r="D379" s="77"/>
      <c r="E379" s="78"/>
      <c r="F379" s="77"/>
      <c r="G379" s="77"/>
      <c r="H379" s="79" t="n">
        <f aca="false">N(H378)+IFERROR(IF(AND($A379&lt;&gt;"",$E379&lt;&gt;"",$A379&gt;=IF(Search!$E$4="",0,Search!$E$4),$A379&lt;=IF(Search!$E$5="",99999,Search!$E$5),OR(Search!$E$6="",ISNUMBER(SEARCH(Search!$E$6,$C379))),OR(Search!$E$7="All",Search!$E$7="",$D379=Search!$E$7),OR(Search!$E$8="",Search!$E$9="",AND($B379&lt;&gt;"",MOD($B379,1)&gt;=Search!$E$8,MOD($B379,1)&lt;=Search!$E$9))),1,0),0)</f>
        <v>0</v>
      </c>
      <c r="I379" s="79" t="n">
        <f aca="false">IF(H379&gt;N(H378),$E379,0)</f>
        <v>0</v>
      </c>
      <c r="J379" s="79" t="n">
        <f aca="false">IFERROR(IF(AND($A379&lt;&gt;"",$E379&lt;&gt;"",$A379&gt;=PeriodStart,$A379&lt;=PeriodEnd),$E379+ROW()/1000000,0),0)</f>
        <v>0</v>
      </c>
    </row>
    <row r="380" customFormat="false" ht="15" hidden="false" customHeight="false" outlineLevel="0" collapsed="false">
      <c r="A380" s="75"/>
      <c r="B380" s="76"/>
      <c r="C380" s="77"/>
      <c r="D380" s="77"/>
      <c r="E380" s="78"/>
      <c r="F380" s="77"/>
      <c r="G380" s="77"/>
      <c r="H380" s="79" t="n">
        <f aca="false">N(H379)+IFERROR(IF(AND($A380&lt;&gt;"",$E380&lt;&gt;"",$A380&gt;=IF(Search!$E$4="",0,Search!$E$4),$A380&lt;=IF(Search!$E$5="",99999,Search!$E$5),OR(Search!$E$6="",ISNUMBER(SEARCH(Search!$E$6,$C380))),OR(Search!$E$7="All",Search!$E$7="",$D380=Search!$E$7),OR(Search!$E$8="",Search!$E$9="",AND($B380&lt;&gt;"",MOD($B380,1)&gt;=Search!$E$8,MOD($B380,1)&lt;=Search!$E$9))),1,0),0)</f>
        <v>0</v>
      </c>
      <c r="I380" s="79" t="n">
        <f aca="false">IF(H380&gt;N(H379),$E380,0)</f>
        <v>0</v>
      </c>
      <c r="J380" s="79" t="n">
        <f aca="false">IFERROR(IF(AND($A380&lt;&gt;"",$E380&lt;&gt;"",$A380&gt;=PeriodStart,$A380&lt;=PeriodEnd),$E380+ROW()/1000000,0),0)</f>
        <v>0</v>
      </c>
    </row>
    <row r="381" customFormat="false" ht="15" hidden="false" customHeight="false" outlineLevel="0" collapsed="false">
      <c r="A381" s="75"/>
      <c r="B381" s="76"/>
      <c r="C381" s="77"/>
      <c r="D381" s="77"/>
      <c r="E381" s="78"/>
      <c r="F381" s="77"/>
      <c r="G381" s="77"/>
      <c r="H381" s="79" t="n">
        <f aca="false">N(H380)+IFERROR(IF(AND($A381&lt;&gt;"",$E381&lt;&gt;"",$A381&gt;=IF(Search!$E$4="",0,Search!$E$4),$A381&lt;=IF(Search!$E$5="",99999,Search!$E$5),OR(Search!$E$6="",ISNUMBER(SEARCH(Search!$E$6,$C381))),OR(Search!$E$7="All",Search!$E$7="",$D381=Search!$E$7),OR(Search!$E$8="",Search!$E$9="",AND($B381&lt;&gt;"",MOD($B381,1)&gt;=Search!$E$8,MOD($B381,1)&lt;=Search!$E$9))),1,0),0)</f>
        <v>0</v>
      </c>
      <c r="I381" s="79" t="n">
        <f aca="false">IF(H381&gt;N(H380),$E381,0)</f>
        <v>0</v>
      </c>
      <c r="J381" s="79" t="n">
        <f aca="false">IFERROR(IF(AND($A381&lt;&gt;"",$E381&lt;&gt;"",$A381&gt;=PeriodStart,$A381&lt;=PeriodEnd),$E381+ROW()/1000000,0),0)</f>
        <v>0</v>
      </c>
    </row>
    <row r="382" customFormat="false" ht="15" hidden="false" customHeight="false" outlineLevel="0" collapsed="false">
      <c r="A382" s="75"/>
      <c r="B382" s="76"/>
      <c r="C382" s="77"/>
      <c r="D382" s="77"/>
      <c r="E382" s="78"/>
      <c r="F382" s="77"/>
      <c r="G382" s="77"/>
      <c r="H382" s="79" t="n">
        <f aca="false">N(H381)+IFERROR(IF(AND($A382&lt;&gt;"",$E382&lt;&gt;"",$A382&gt;=IF(Search!$E$4="",0,Search!$E$4),$A382&lt;=IF(Search!$E$5="",99999,Search!$E$5),OR(Search!$E$6="",ISNUMBER(SEARCH(Search!$E$6,$C382))),OR(Search!$E$7="All",Search!$E$7="",$D382=Search!$E$7),OR(Search!$E$8="",Search!$E$9="",AND($B382&lt;&gt;"",MOD($B382,1)&gt;=Search!$E$8,MOD($B382,1)&lt;=Search!$E$9))),1,0),0)</f>
        <v>0</v>
      </c>
      <c r="I382" s="79" t="n">
        <f aca="false">IF(H382&gt;N(H381),$E382,0)</f>
        <v>0</v>
      </c>
      <c r="J382" s="79" t="n">
        <f aca="false">IFERROR(IF(AND($A382&lt;&gt;"",$E382&lt;&gt;"",$A382&gt;=PeriodStart,$A382&lt;=PeriodEnd),$E382+ROW()/1000000,0),0)</f>
        <v>0</v>
      </c>
    </row>
    <row r="383" customFormat="false" ht="15" hidden="false" customHeight="false" outlineLevel="0" collapsed="false">
      <c r="A383" s="75"/>
      <c r="B383" s="76"/>
      <c r="C383" s="77"/>
      <c r="D383" s="77"/>
      <c r="E383" s="78"/>
      <c r="F383" s="77"/>
      <c r="G383" s="77"/>
      <c r="H383" s="79" t="n">
        <f aca="false">N(H382)+IFERROR(IF(AND($A383&lt;&gt;"",$E383&lt;&gt;"",$A383&gt;=IF(Search!$E$4="",0,Search!$E$4),$A383&lt;=IF(Search!$E$5="",99999,Search!$E$5),OR(Search!$E$6="",ISNUMBER(SEARCH(Search!$E$6,$C383))),OR(Search!$E$7="All",Search!$E$7="",$D383=Search!$E$7),OR(Search!$E$8="",Search!$E$9="",AND($B383&lt;&gt;"",MOD($B383,1)&gt;=Search!$E$8,MOD($B383,1)&lt;=Search!$E$9))),1,0),0)</f>
        <v>0</v>
      </c>
      <c r="I383" s="79" t="n">
        <f aca="false">IF(H383&gt;N(H382),$E383,0)</f>
        <v>0</v>
      </c>
      <c r="J383" s="79" t="n">
        <f aca="false">IFERROR(IF(AND($A383&lt;&gt;"",$E383&lt;&gt;"",$A383&gt;=PeriodStart,$A383&lt;=PeriodEnd),$E383+ROW()/1000000,0),0)</f>
        <v>0</v>
      </c>
    </row>
    <row r="384" customFormat="false" ht="15" hidden="false" customHeight="false" outlineLevel="0" collapsed="false">
      <c r="A384" s="75"/>
      <c r="B384" s="76"/>
      <c r="C384" s="77"/>
      <c r="D384" s="77"/>
      <c r="E384" s="78"/>
      <c r="F384" s="77"/>
      <c r="G384" s="77"/>
      <c r="H384" s="79" t="n">
        <f aca="false">N(H383)+IFERROR(IF(AND($A384&lt;&gt;"",$E384&lt;&gt;"",$A384&gt;=IF(Search!$E$4="",0,Search!$E$4),$A384&lt;=IF(Search!$E$5="",99999,Search!$E$5),OR(Search!$E$6="",ISNUMBER(SEARCH(Search!$E$6,$C384))),OR(Search!$E$7="All",Search!$E$7="",$D384=Search!$E$7),OR(Search!$E$8="",Search!$E$9="",AND($B384&lt;&gt;"",MOD($B384,1)&gt;=Search!$E$8,MOD($B384,1)&lt;=Search!$E$9))),1,0),0)</f>
        <v>0</v>
      </c>
      <c r="I384" s="79" t="n">
        <f aca="false">IF(H384&gt;N(H383),$E384,0)</f>
        <v>0</v>
      </c>
      <c r="J384" s="79" t="n">
        <f aca="false">IFERROR(IF(AND($A384&lt;&gt;"",$E384&lt;&gt;"",$A384&gt;=PeriodStart,$A384&lt;=PeriodEnd),$E384+ROW()/1000000,0),0)</f>
        <v>0</v>
      </c>
    </row>
    <row r="385" customFormat="false" ht="15" hidden="false" customHeight="false" outlineLevel="0" collapsed="false">
      <c r="A385" s="75"/>
      <c r="B385" s="76"/>
      <c r="C385" s="77"/>
      <c r="D385" s="77"/>
      <c r="E385" s="78"/>
      <c r="F385" s="77"/>
      <c r="G385" s="77"/>
      <c r="H385" s="79" t="n">
        <f aca="false">N(H384)+IFERROR(IF(AND($A385&lt;&gt;"",$E385&lt;&gt;"",$A385&gt;=IF(Search!$E$4="",0,Search!$E$4),$A385&lt;=IF(Search!$E$5="",99999,Search!$E$5),OR(Search!$E$6="",ISNUMBER(SEARCH(Search!$E$6,$C385))),OR(Search!$E$7="All",Search!$E$7="",$D385=Search!$E$7),OR(Search!$E$8="",Search!$E$9="",AND($B385&lt;&gt;"",MOD($B385,1)&gt;=Search!$E$8,MOD($B385,1)&lt;=Search!$E$9))),1,0),0)</f>
        <v>0</v>
      </c>
      <c r="I385" s="79" t="n">
        <f aca="false">IF(H385&gt;N(H384),$E385,0)</f>
        <v>0</v>
      </c>
      <c r="J385" s="79" t="n">
        <f aca="false">IFERROR(IF(AND($A385&lt;&gt;"",$E385&lt;&gt;"",$A385&gt;=PeriodStart,$A385&lt;=PeriodEnd),$E385+ROW()/1000000,0),0)</f>
        <v>0</v>
      </c>
    </row>
    <row r="386" customFormat="false" ht="15" hidden="false" customHeight="false" outlineLevel="0" collapsed="false">
      <c r="A386" s="75"/>
      <c r="B386" s="76"/>
      <c r="C386" s="77"/>
      <c r="D386" s="77"/>
      <c r="E386" s="78"/>
      <c r="F386" s="77"/>
      <c r="G386" s="77"/>
      <c r="H386" s="79" t="n">
        <f aca="false">N(H385)+IFERROR(IF(AND($A386&lt;&gt;"",$E386&lt;&gt;"",$A386&gt;=IF(Search!$E$4="",0,Search!$E$4),$A386&lt;=IF(Search!$E$5="",99999,Search!$E$5),OR(Search!$E$6="",ISNUMBER(SEARCH(Search!$E$6,$C386))),OR(Search!$E$7="All",Search!$E$7="",$D386=Search!$E$7),OR(Search!$E$8="",Search!$E$9="",AND($B386&lt;&gt;"",MOD($B386,1)&gt;=Search!$E$8,MOD($B386,1)&lt;=Search!$E$9))),1,0),0)</f>
        <v>0</v>
      </c>
      <c r="I386" s="79" t="n">
        <f aca="false">IF(H386&gt;N(H385),$E386,0)</f>
        <v>0</v>
      </c>
      <c r="J386" s="79" t="n">
        <f aca="false">IFERROR(IF(AND($A386&lt;&gt;"",$E386&lt;&gt;"",$A386&gt;=PeriodStart,$A386&lt;=PeriodEnd),$E386+ROW()/1000000,0),0)</f>
        <v>0</v>
      </c>
    </row>
    <row r="387" customFormat="false" ht="15" hidden="false" customHeight="false" outlineLevel="0" collapsed="false">
      <c r="A387" s="75"/>
      <c r="B387" s="76"/>
      <c r="C387" s="77"/>
      <c r="D387" s="77"/>
      <c r="E387" s="78"/>
      <c r="F387" s="77"/>
      <c r="G387" s="77"/>
      <c r="H387" s="79" t="n">
        <f aca="false">N(H386)+IFERROR(IF(AND($A387&lt;&gt;"",$E387&lt;&gt;"",$A387&gt;=IF(Search!$E$4="",0,Search!$E$4),$A387&lt;=IF(Search!$E$5="",99999,Search!$E$5),OR(Search!$E$6="",ISNUMBER(SEARCH(Search!$E$6,$C387))),OR(Search!$E$7="All",Search!$E$7="",$D387=Search!$E$7),OR(Search!$E$8="",Search!$E$9="",AND($B387&lt;&gt;"",MOD($B387,1)&gt;=Search!$E$8,MOD($B387,1)&lt;=Search!$E$9))),1,0),0)</f>
        <v>0</v>
      </c>
      <c r="I387" s="79" t="n">
        <f aca="false">IF(H387&gt;N(H386),$E387,0)</f>
        <v>0</v>
      </c>
      <c r="J387" s="79" t="n">
        <f aca="false">IFERROR(IF(AND($A387&lt;&gt;"",$E387&lt;&gt;"",$A387&gt;=PeriodStart,$A387&lt;=PeriodEnd),$E387+ROW()/1000000,0),0)</f>
        <v>0</v>
      </c>
    </row>
    <row r="388" customFormat="false" ht="15" hidden="false" customHeight="false" outlineLevel="0" collapsed="false">
      <c r="A388" s="75"/>
      <c r="B388" s="76"/>
      <c r="C388" s="77"/>
      <c r="D388" s="77"/>
      <c r="E388" s="78"/>
      <c r="F388" s="77"/>
      <c r="G388" s="77"/>
      <c r="H388" s="79" t="n">
        <f aca="false">N(H387)+IFERROR(IF(AND($A388&lt;&gt;"",$E388&lt;&gt;"",$A388&gt;=IF(Search!$E$4="",0,Search!$E$4),$A388&lt;=IF(Search!$E$5="",99999,Search!$E$5),OR(Search!$E$6="",ISNUMBER(SEARCH(Search!$E$6,$C388))),OR(Search!$E$7="All",Search!$E$7="",$D388=Search!$E$7),OR(Search!$E$8="",Search!$E$9="",AND($B388&lt;&gt;"",MOD($B388,1)&gt;=Search!$E$8,MOD($B388,1)&lt;=Search!$E$9))),1,0),0)</f>
        <v>0</v>
      </c>
      <c r="I388" s="79" t="n">
        <f aca="false">IF(H388&gt;N(H387),$E388,0)</f>
        <v>0</v>
      </c>
      <c r="J388" s="79" t="n">
        <f aca="false">IFERROR(IF(AND($A388&lt;&gt;"",$E388&lt;&gt;"",$A388&gt;=PeriodStart,$A388&lt;=PeriodEnd),$E388+ROW()/1000000,0),0)</f>
        <v>0</v>
      </c>
    </row>
    <row r="389" customFormat="false" ht="15" hidden="false" customHeight="false" outlineLevel="0" collapsed="false">
      <c r="A389" s="75"/>
      <c r="B389" s="76"/>
      <c r="C389" s="77"/>
      <c r="D389" s="77"/>
      <c r="E389" s="78"/>
      <c r="F389" s="77"/>
      <c r="G389" s="77"/>
      <c r="H389" s="79" t="n">
        <f aca="false">N(H388)+IFERROR(IF(AND($A389&lt;&gt;"",$E389&lt;&gt;"",$A389&gt;=IF(Search!$E$4="",0,Search!$E$4),$A389&lt;=IF(Search!$E$5="",99999,Search!$E$5),OR(Search!$E$6="",ISNUMBER(SEARCH(Search!$E$6,$C389))),OR(Search!$E$7="All",Search!$E$7="",$D389=Search!$E$7),OR(Search!$E$8="",Search!$E$9="",AND($B389&lt;&gt;"",MOD($B389,1)&gt;=Search!$E$8,MOD($B389,1)&lt;=Search!$E$9))),1,0),0)</f>
        <v>0</v>
      </c>
      <c r="I389" s="79" t="n">
        <f aca="false">IF(H389&gt;N(H388),$E389,0)</f>
        <v>0</v>
      </c>
      <c r="J389" s="79" t="n">
        <f aca="false">IFERROR(IF(AND($A389&lt;&gt;"",$E389&lt;&gt;"",$A389&gt;=PeriodStart,$A389&lt;=PeriodEnd),$E389+ROW()/1000000,0),0)</f>
        <v>0</v>
      </c>
    </row>
    <row r="390" customFormat="false" ht="15" hidden="false" customHeight="false" outlineLevel="0" collapsed="false">
      <c r="A390" s="75"/>
      <c r="B390" s="76"/>
      <c r="C390" s="77"/>
      <c r="D390" s="77"/>
      <c r="E390" s="78"/>
      <c r="F390" s="77"/>
      <c r="G390" s="77"/>
      <c r="H390" s="79" t="n">
        <f aca="false">N(H389)+IFERROR(IF(AND($A390&lt;&gt;"",$E390&lt;&gt;"",$A390&gt;=IF(Search!$E$4="",0,Search!$E$4),$A390&lt;=IF(Search!$E$5="",99999,Search!$E$5),OR(Search!$E$6="",ISNUMBER(SEARCH(Search!$E$6,$C390))),OR(Search!$E$7="All",Search!$E$7="",$D390=Search!$E$7),OR(Search!$E$8="",Search!$E$9="",AND($B390&lt;&gt;"",MOD($B390,1)&gt;=Search!$E$8,MOD($B390,1)&lt;=Search!$E$9))),1,0),0)</f>
        <v>0</v>
      </c>
      <c r="I390" s="79" t="n">
        <f aca="false">IF(H390&gt;N(H389),$E390,0)</f>
        <v>0</v>
      </c>
      <c r="J390" s="79" t="n">
        <f aca="false">IFERROR(IF(AND($A390&lt;&gt;"",$E390&lt;&gt;"",$A390&gt;=PeriodStart,$A390&lt;=PeriodEnd),$E390+ROW()/1000000,0),0)</f>
        <v>0</v>
      </c>
    </row>
    <row r="391" customFormat="false" ht="15" hidden="false" customHeight="false" outlineLevel="0" collapsed="false">
      <c r="A391" s="75"/>
      <c r="B391" s="76"/>
      <c r="C391" s="77"/>
      <c r="D391" s="77"/>
      <c r="E391" s="78"/>
      <c r="F391" s="77"/>
      <c r="G391" s="77"/>
      <c r="H391" s="79" t="n">
        <f aca="false">N(H390)+IFERROR(IF(AND($A391&lt;&gt;"",$E391&lt;&gt;"",$A391&gt;=IF(Search!$E$4="",0,Search!$E$4),$A391&lt;=IF(Search!$E$5="",99999,Search!$E$5),OR(Search!$E$6="",ISNUMBER(SEARCH(Search!$E$6,$C391))),OR(Search!$E$7="All",Search!$E$7="",$D391=Search!$E$7),OR(Search!$E$8="",Search!$E$9="",AND($B391&lt;&gt;"",MOD($B391,1)&gt;=Search!$E$8,MOD($B391,1)&lt;=Search!$E$9))),1,0),0)</f>
        <v>0</v>
      </c>
      <c r="I391" s="79" t="n">
        <f aca="false">IF(H391&gt;N(H390),$E391,0)</f>
        <v>0</v>
      </c>
      <c r="J391" s="79" t="n">
        <f aca="false">IFERROR(IF(AND($A391&lt;&gt;"",$E391&lt;&gt;"",$A391&gt;=PeriodStart,$A391&lt;=PeriodEnd),$E391+ROW()/1000000,0),0)</f>
        <v>0</v>
      </c>
    </row>
    <row r="392" customFormat="false" ht="15" hidden="false" customHeight="false" outlineLevel="0" collapsed="false">
      <c r="A392" s="75"/>
      <c r="B392" s="76"/>
      <c r="C392" s="77"/>
      <c r="D392" s="77"/>
      <c r="E392" s="78"/>
      <c r="F392" s="77"/>
      <c r="G392" s="77"/>
      <c r="H392" s="79" t="n">
        <f aca="false">N(H391)+IFERROR(IF(AND($A392&lt;&gt;"",$E392&lt;&gt;"",$A392&gt;=IF(Search!$E$4="",0,Search!$E$4),$A392&lt;=IF(Search!$E$5="",99999,Search!$E$5),OR(Search!$E$6="",ISNUMBER(SEARCH(Search!$E$6,$C392))),OR(Search!$E$7="All",Search!$E$7="",$D392=Search!$E$7),OR(Search!$E$8="",Search!$E$9="",AND($B392&lt;&gt;"",MOD($B392,1)&gt;=Search!$E$8,MOD($B392,1)&lt;=Search!$E$9))),1,0),0)</f>
        <v>0</v>
      </c>
      <c r="I392" s="79" t="n">
        <f aca="false">IF(H392&gt;N(H391),$E392,0)</f>
        <v>0</v>
      </c>
      <c r="J392" s="79" t="n">
        <f aca="false">IFERROR(IF(AND($A392&lt;&gt;"",$E392&lt;&gt;"",$A392&gt;=PeriodStart,$A392&lt;=PeriodEnd),$E392+ROW()/1000000,0),0)</f>
        <v>0</v>
      </c>
    </row>
    <row r="393" customFormat="false" ht="15" hidden="false" customHeight="false" outlineLevel="0" collapsed="false">
      <c r="A393" s="75"/>
      <c r="B393" s="76"/>
      <c r="C393" s="77"/>
      <c r="D393" s="77"/>
      <c r="E393" s="78"/>
      <c r="F393" s="77"/>
      <c r="G393" s="77"/>
      <c r="H393" s="79" t="n">
        <f aca="false">N(H392)+IFERROR(IF(AND($A393&lt;&gt;"",$E393&lt;&gt;"",$A393&gt;=IF(Search!$E$4="",0,Search!$E$4),$A393&lt;=IF(Search!$E$5="",99999,Search!$E$5),OR(Search!$E$6="",ISNUMBER(SEARCH(Search!$E$6,$C393))),OR(Search!$E$7="All",Search!$E$7="",$D393=Search!$E$7),OR(Search!$E$8="",Search!$E$9="",AND($B393&lt;&gt;"",MOD($B393,1)&gt;=Search!$E$8,MOD($B393,1)&lt;=Search!$E$9))),1,0),0)</f>
        <v>0</v>
      </c>
      <c r="I393" s="79" t="n">
        <f aca="false">IF(H393&gt;N(H392),$E393,0)</f>
        <v>0</v>
      </c>
      <c r="J393" s="79" t="n">
        <f aca="false">IFERROR(IF(AND($A393&lt;&gt;"",$E393&lt;&gt;"",$A393&gt;=PeriodStart,$A393&lt;=PeriodEnd),$E393+ROW()/1000000,0),0)</f>
        <v>0</v>
      </c>
    </row>
    <row r="394" customFormat="false" ht="15" hidden="false" customHeight="false" outlineLevel="0" collapsed="false">
      <c r="A394" s="75"/>
      <c r="B394" s="76"/>
      <c r="C394" s="77"/>
      <c r="D394" s="77"/>
      <c r="E394" s="78"/>
      <c r="F394" s="77"/>
      <c r="G394" s="77"/>
      <c r="H394" s="79" t="n">
        <f aca="false">N(H393)+IFERROR(IF(AND($A394&lt;&gt;"",$E394&lt;&gt;"",$A394&gt;=IF(Search!$E$4="",0,Search!$E$4),$A394&lt;=IF(Search!$E$5="",99999,Search!$E$5),OR(Search!$E$6="",ISNUMBER(SEARCH(Search!$E$6,$C394))),OR(Search!$E$7="All",Search!$E$7="",$D394=Search!$E$7),OR(Search!$E$8="",Search!$E$9="",AND($B394&lt;&gt;"",MOD($B394,1)&gt;=Search!$E$8,MOD($B394,1)&lt;=Search!$E$9))),1,0),0)</f>
        <v>0</v>
      </c>
      <c r="I394" s="79" t="n">
        <f aca="false">IF(H394&gt;N(H393),$E394,0)</f>
        <v>0</v>
      </c>
      <c r="J394" s="79" t="n">
        <f aca="false">IFERROR(IF(AND($A394&lt;&gt;"",$E394&lt;&gt;"",$A394&gt;=PeriodStart,$A394&lt;=PeriodEnd),$E394+ROW()/1000000,0),0)</f>
        <v>0</v>
      </c>
    </row>
    <row r="395" customFormat="false" ht="15" hidden="false" customHeight="false" outlineLevel="0" collapsed="false">
      <c r="A395" s="75"/>
      <c r="B395" s="76"/>
      <c r="C395" s="77"/>
      <c r="D395" s="77"/>
      <c r="E395" s="78"/>
      <c r="F395" s="77"/>
      <c r="G395" s="77"/>
      <c r="H395" s="79" t="n">
        <f aca="false">N(H394)+IFERROR(IF(AND($A395&lt;&gt;"",$E395&lt;&gt;"",$A395&gt;=IF(Search!$E$4="",0,Search!$E$4),$A395&lt;=IF(Search!$E$5="",99999,Search!$E$5),OR(Search!$E$6="",ISNUMBER(SEARCH(Search!$E$6,$C395))),OR(Search!$E$7="All",Search!$E$7="",$D395=Search!$E$7),OR(Search!$E$8="",Search!$E$9="",AND($B395&lt;&gt;"",MOD($B395,1)&gt;=Search!$E$8,MOD($B395,1)&lt;=Search!$E$9))),1,0),0)</f>
        <v>0</v>
      </c>
      <c r="I395" s="79" t="n">
        <f aca="false">IF(H395&gt;N(H394),$E395,0)</f>
        <v>0</v>
      </c>
      <c r="J395" s="79" t="n">
        <f aca="false">IFERROR(IF(AND($A395&lt;&gt;"",$E395&lt;&gt;"",$A395&gt;=PeriodStart,$A395&lt;=PeriodEnd),$E395+ROW()/1000000,0),0)</f>
        <v>0</v>
      </c>
    </row>
    <row r="396" customFormat="false" ht="15" hidden="false" customHeight="false" outlineLevel="0" collapsed="false">
      <c r="A396" s="75"/>
      <c r="B396" s="76"/>
      <c r="C396" s="77"/>
      <c r="D396" s="77"/>
      <c r="E396" s="78"/>
      <c r="F396" s="77"/>
      <c r="G396" s="77"/>
      <c r="H396" s="79" t="n">
        <f aca="false">N(H395)+IFERROR(IF(AND($A396&lt;&gt;"",$E396&lt;&gt;"",$A396&gt;=IF(Search!$E$4="",0,Search!$E$4),$A396&lt;=IF(Search!$E$5="",99999,Search!$E$5),OR(Search!$E$6="",ISNUMBER(SEARCH(Search!$E$6,$C396))),OR(Search!$E$7="All",Search!$E$7="",$D396=Search!$E$7),OR(Search!$E$8="",Search!$E$9="",AND($B396&lt;&gt;"",MOD($B396,1)&gt;=Search!$E$8,MOD($B396,1)&lt;=Search!$E$9))),1,0),0)</f>
        <v>0</v>
      </c>
      <c r="I396" s="79" t="n">
        <f aca="false">IF(H396&gt;N(H395),$E396,0)</f>
        <v>0</v>
      </c>
      <c r="J396" s="79" t="n">
        <f aca="false">IFERROR(IF(AND($A396&lt;&gt;"",$E396&lt;&gt;"",$A396&gt;=PeriodStart,$A396&lt;=PeriodEnd),$E396+ROW()/1000000,0),0)</f>
        <v>0</v>
      </c>
    </row>
    <row r="397" customFormat="false" ht="15" hidden="false" customHeight="false" outlineLevel="0" collapsed="false">
      <c r="A397" s="75"/>
      <c r="B397" s="76"/>
      <c r="C397" s="77"/>
      <c r="D397" s="77"/>
      <c r="E397" s="78"/>
      <c r="F397" s="77"/>
      <c r="G397" s="77"/>
      <c r="H397" s="79" t="n">
        <f aca="false">N(H396)+IFERROR(IF(AND($A397&lt;&gt;"",$E397&lt;&gt;"",$A397&gt;=IF(Search!$E$4="",0,Search!$E$4),$A397&lt;=IF(Search!$E$5="",99999,Search!$E$5),OR(Search!$E$6="",ISNUMBER(SEARCH(Search!$E$6,$C397))),OR(Search!$E$7="All",Search!$E$7="",$D397=Search!$E$7),OR(Search!$E$8="",Search!$E$9="",AND($B397&lt;&gt;"",MOD($B397,1)&gt;=Search!$E$8,MOD($B397,1)&lt;=Search!$E$9))),1,0),0)</f>
        <v>0</v>
      </c>
      <c r="I397" s="79" t="n">
        <f aca="false">IF(H397&gt;N(H396),$E397,0)</f>
        <v>0</v>
      </c>
      <c r="J397" s="79" t="n">
        <f aca="false">IFERROR(IF(AND($A397&lt;&gt;"",$E397&lt;&gt;"",$A397&gt;=PeriodStart,$A397&lt;=PeriodEnd),$E397+ROW()/1000000,0),0)</f>
        <v>0</v>
      </c>
    </row>
    <row r="398" customFormat="false" ht="15" hidden="false" customHeight="false" outlineLevel="0" collapsed="false">
      <c r="A398" s="75"/>
      <c r="B398" s="76"/>
      <c r="C398" s="77"/>
      <c r="D398" s="77"/>
      <c r="E398" s="78"/>
      <c r="F398" s="77"/>
      <c r="G398" s="77"/>
      <c r="H398" s="79" t="n">
        <f aca="false">N(H397)+IFERROR(IF(AND($A398&lt;&gt;"",$E398&lt;&gt;"",$A398&gt;=IF(Search!$E$4="",0,Search!$E$4),$A398&lt;=IF(Search!$E$5="",99999,Search!$E$5),OR(Search!$E$6="",ISNUMBER(SEARCH(Search!$E$6,$C398))),OR(Search!$E$7="All",Search!$E$7="",$D398=Search!$E$7),OR(Search!$E$8="",Search!$E$9="",AND($B398&lt;&gt;"",MOD($B398,1)&gt;=Search!$E$8,MOD($B398,1)&lt;=Search!$E$9))),1,0),0)</f>
        <v>0</v>
      </c>
      <c r="I398" s="79" t="n">
        <f aca="false">IF(H398&gt;N(H397),$E398,0)</f>
        <v>0</v>
      </c>
      <c r="J398" s="79" t="n">
        <f aca="false">IFERROR(IF(AND($A398&lt;&gt;"",$E398&lt;&gt;"",$A398&gt;=PeriodStart,$A398&lt;=PeriodEnd),$E398+ROW()/1000000,0),0)</f>
        <v>0</v>
      </c>
    </row>
    <row r="399" customFormat="false" ht="15" hidden="false" customHeight="false" outlineLevel="0" collapsed="false">
      <c r="A399" s="75"/>
      <c r="B399" s="76"/>
      <c r="C399" s="77"/>
      <c r="D399" s="77"/>
      <c r="E399" s="78"/>
      <c r="F399" s="77"/>
      <c r="G399" s="77"/>
      <c r="H399" s="79" t="n">
        <f aca="false">N(H398)+IFERROR(IF(AND($A399&lt;&gt;"",$E399&lt;&gt;"",$A399&gt;=IF(Search!$E$4="",0,Search!$E$4),$A399&lt;=IF(Search!$E$5="",99999,Search!$E$5),OR(Search!$E$6="",ISNUMBER(SEARCH(Search!$E$6,$C399))),OR(Search!$E$7="All",Search!$E$7="",$D399=Search!$E$7),OR(Search!$E$8="",Search!$E$9="",AND($B399&lt;&gt;"",MOD($B399,1)&gt;=Search!$E$8,MOD($B399,1)&lt;=Search!$E$9))),1,0),0)</f>
        <v>0</v>
      </c>
      <c r="I399" s="79" t="n">
        <f aca="false">IF(H399&gt;N(H398),$E399,0)</f>
        <v>0</v>
      </c>
      <c r="J399" s="79" t="n">
        <f aca="false">IFERROR(IF(AND($A399&lt;&gt;"",$E399&lt;&gt;"",$A399&gt;=PeriodStart,$A399&lt;=PeriodEnd),$E399+ROW()/1000000,0),0)</f>
        <v>0</v>
      </c>
    </row>
    <row r="400" customFormat="false" ht="15" hidden="false" customHeight="false" outlineLevel="0" collapsed="false">
      <c r="A400" s="75"/>
      <c r="B400" s="76"/>
      <c r="C400" s="77"/>
      <c r="D400" s="77"/>
      <c r="E400" s="78"/>
      <c r="F400" s="77"/>
      <c r="G400" s="77"/>
      <c r="H400" s="79" t="n">
        <f aca="false">N(H399)+IFERROR(IF(AND($A400&lt;&gt;"",$E400&lt;&gt;"",$A400&gt;=IF(Search!$E$4="",0,Search!$E$4),$A400&lt;=IF(Search!$E$5="",99999,Search!$E$5),OR(Search!$E$6="",ISNUMBER(SEARCH(Search!$E$6,$C400))),OR(Search!$E$7="All",Search!$E$7="",$D400=Search!$E$7),OR(Search!$E$8="",Search!$E$9="",AND($B400&lt;&gt;"",MOD($B400,1)&gt;=Search!$E$8,MOD($B400,1)&lt;=Search!$E$9))),1,0),0)</f>
        <v>0</v>
      </c>
      <c r="I400" s="79" t="n">
        <f aca="false">IF(H400&gt;N(H399),$E400,0)</f>
        <v>0</v>
      </c>
      <c r="J400" s="79" t="n">
        <f aca="false">IFERROR(IF(AND($A400&lt;&gt;"",$E400&lt;&gt;"",$A400&gt;=PeriodStart,$A400&lt;=PeriodEnd),$E400+ROW()/1000000,0),0)</f>
        <v>0</v>
      </c>
    </row>
    <row r="401" customFormat="false" ht="15" hidden="false" customHeight="false" outlineLevel="0" collapsed="false">
      <c r="A401" s="75"/>
      <c r="B401" s="76"/>
      <c r="C401" s="77"/>
      <c r="D401" s="77"/>
      <c r="E401" s="78"/>
      <c r="F401" s="77"/>
      <c r="G401" s="77"/>
      <c r="H401" s="79" t="n">
        <f aca="false">N(H400)+IFERROR(IF(AND($A401&lt;&gt;"",$E401&lt;&gt;"",$A401&gt;=IF(Search!$E$4="",0,Search!$E$4),$A401&lt;=IF(Search!$E$5="",99999,Search!$E$5),OR(Search!$E$6="",ISNUMBER(SEARCH(Search!$E$6,$C401))),OR(Search!$E$7="All",Search!$E$7="",$D401=Search!$E$7),OR(Search!$E$8="",Search!$E$9="",AND($B401&lt;&gt;"",MOD($B401,1)&gt;=Search!$E$8,MOD($B401,1)&lt;=Search!$E$9))),1,0),0)</f>
        <v>0</v>
      </c>
      <c r="I401" s="79" t="n">
        <f aca="false">IF(H401&gt;N(H400),$E401,0)</f>
        <v>0</v>
      </c>
      <c r="J401" s="79" t="n">
        <f aca="false">IFERROR(IF(AND($A401&lt;&gt;"",$E401&lt;&gt;"",$A401&gt;=PeriodStart,$A401&lt;=PeriodEnd),$E401+ROW()/1000000,0),0)</f>
        <v>0</v>
      </c>
    </row>
    <row r="402" customFormat="false" ht="15" hidden="false" customHeight="false" outlineLevel="0" collapsed="false">
      <c r="A402" s="75"/>
      <c r="B402" s="76"/>
      <c r="C402" s="77"/>
      <c r="D402" s="77"/>
      <c r="E402" s="78"/>
      <c r="F402" s="77"/>
      <c r="G402" s="77"/>
      <c r="H402" s="79" t="n">
        <f aca="false">N(H401)+IFERROR(IF(AND($A402&lt;&gt;"",$E402&lt;&gt;"",$A402&gt;=IF(Search!$E$4="",0,Search!$E$4),$A402&lt;=IF(Search!$E$5="",99999,Search!$E$5),OR(Search!$E$6="",ISNUMBER(SEARCH(Search!$E$6,$C402))),OR(Search!$E$7="All",Search!$E$7="",$D402=Search!$E$7),OR(Search!$E$8="",Search!$E$9="",AND($B402&lt;&gt;"",MOD($B402,1)&gt;=Search!$E$8,MOD($B402,1)&lt;=Search!$E$9))),1,0),0)</f>
        <v>0</v>
      </c>
      <c r="I402" s="79" t="n">
        <f aca="false">IF(H402&gt;N(H401),$E402,0)</f>
        <v>0</v>
      </c>
      <c r="J402" s="79" t="n">
        <f aca="false">IFERROR(IF(AND($A402&lt;&gt;"",$E402&lt;&gt;"",$A402&gt;=PeriodStart,$A402&lt;=PeriodEnd),$E402+ROW()/1000000,0),0)</f>
        <v>0</v>
      </c>
    </row>
    <row r="403" customFormat="false" ht="15" hidden="false" customHeight="false" outlineLevel="0" collapsed="false">
      <c r="A403" s="75"/>
      <c r="B403" s="76"/>
      <c r="C403" s="77"/>
      <c r="D403" s="77"/>
      <c r="E403" s="78"/>
      <c r="F403" s="77"/>
      <c r="G403" s="77"/>
      <c r="H403" s="79" t="n">
        <f aca="false">N(H402)+IFERROR(IF(AND($A403&lt;&gt;"",$E403&lt;&gt;"",$A403&gt;=IF(Search!$E$4="",0,Search!$E$4),$A403&lt;=IF(Search!$E$5="",99999,Search!$E$5),OR(Search!$E$6="",ISNUMBER(SEARCH(Search!$E$6,$C403))),OR(Search!$E$7="All",Search!$E$7="",$D403=Search!$E$7),OR(Search!$E$8="",Search!$E$9="",AND($B403&lt;&gt;"",MOD($B403,1)&gt;=Search!$E$8,MOD($B403,1)&lt;=Search!$E$9))),1,0),0)</f>
        <v>0</v>
      </c>
      <c r="I403" s="79" t="n">
        <f aca="false">IF(H403&gt;N(H402),$E403,0)</f>
        <v>0</v>
      </c>
      <c r="J403" s="79" t="n">
        <f aca="false">IFERROR(IF(AND($A403&lt;&gt;"",$E403&lt;&gt;"",$A403&gt;=PeriodStart,$A403&lt;=PeriodEnd),$E403+ROW()/1000000,0),0)</f>
        <v>0</v>
      </c>
    </row>
    <row r="404" customFormat="false" ht="15" hidden="false" customHeight="false" outlineLevel="0" collapsed="false">
      <c r="A404" s="75"/>
      <c r="B404" s="76"/>
      <c r="C404" s="77"/>
      <c r="D404" s="77"/>
      <c r="E404" s="78"/>
      <c r="F404" s="77"/>
      <c r="G404" s="77"/>
      <c r="H404" s="79" t="n">
        <f aca="false">N(H403)+IFERROR(IF(AND($A404&lt;&gt;"",$E404&lt;&gt;"",$A404&gt;=IF(Search!$E$4="",0,Search!$E$4),$A404&lt;=IF(Search!$E$5="",99999,Search!$E$5),OR(Search!$E$6="",ISNUMBER(SEARCH(Search!$E$6,$C404))),OR(Search!$E$7="All",Search!$E$7="",$D404=Search!$E$7),OR(Search!$E$8="",Search!$E$9="",AND($B404&lt;&gt;"",MOD($B404,1)&gt;=Search!$E$8,MOD($B404,1)&lt;=Search!$E$9))),1,0),0)</f>
        <v>0</v>
      </c>
      <c r="I404" s="79" t="n">
        <f aca="false">IF(H404&gt;N(H403),$E404,0)</f>
        <v>0</v>
      </c>
      <c r="J404" s="79" t="n">
        <f aca="false">IFERROR(IF(AND($A404&lt;&gt;"",$E404&lt;&gt;"",$A404&gt;=PeriodStart,$A404&lt;=PeriodEnd),$E404+ROW()/1000000,0),0)</f>
        <v>0</v>
      </c>
    </row>
    <row r="405" customFormat="false" ht="15" hidden="false" customHeight="false" outlineLevel="0" collapsed="false">
      <c r="A405" s="75"/>
      <c r="B405" s="76"/>
      <c r="C405" s="77"/>
      <c r="D405" s="77"/>
      <c r="E405" s="78"/>
      <c r="F405" s="77"/>
      <c r="G405" s="77"/>
      <c r="H405" s="79" t="n">
        <f aca="false">N(H404)+IFERROR(IF(AND($A405&lt;&gt;"",$E405&lt;&gt;"",$A405&gt;=IF(Search!$E$4="",0,Search!$E$4),$A405&lt;=IF(Search!$E$5="",99999,Search!$E$5),OR(Search!$E$6="",ISNUMBER(SEARCH(Search!$E$6,$C405))),OR(Search!$E$7="All",Search!$E$7="",$D405=Search!$E$7),OR(Search!$E$8="",Search!$E$9="",AND($B405&lt;&gt;"",MOD($B405,1)&gt;=Search!$E$8,MOD($B405,1)&lt;=Search!$E$9))),1,0),0)</f>
        <v>0</v>
      </c>
      <c r="I405" s="79" t="n">
        <f aca="false">IF(H405&gt;N(H404),$E405,0)</f>
        <v>0</v>
      </c>
      <c r="J405" s="79" t="n">
        <f aca="false">IFERROR(IF(AND($A405&lt;&gt;"",$E405&lt;&gt;"",$A405&gt;=PeriodStart,$A405&lt;=PeriodEnd),$E405+ROW()/1000000,0),0)</f>
        <v>0</v>
      </c>
    </row>
    <row r="406" customFormat="false" ht="15" hidden="false" customHeight="false" outlineLevel="0" collapsed="false">
      <c r="A406" s="75"/>
      <c r="B406" s="76"/>
      <c r="C406" s="77"/>
      <c r="D406" s="77"/>
      <c r="E406" s="78"/>
      <c r="F406" s="77"/>
      <c r="G406" s="77"/>
      <c r="H406" s="79" t="n">
        <f aca="false">N(H405)+IFERROR(IF(AND($A406&lt;&gt;"",$E406&lt;&gt;"",$A406&gt;=IF(Search!$E$4="",0,Search!$E$4),$A406&lt;=IF(Search!$E$5="",99999,Search!$E$5),OR(Search!$E$6="",ISNUMBER(SEARCH(Search!$E$6,$C406))),OR(Search!$E$7="All",Search!$E$7="",$D406=Search!$E$7),OR(Search!$E$8="",Search!$E$9="",AND($B406&lt;&gt;"",MOD($B406,1)&gt;=Search!$E$8,MOD($B406,1)&lt;=Search!$E$9))),1,0),0)</f>
        <v>0</v>
      </c>
      <c r="I406" s="79" t="n">
        <f aca="false">IF(H406&gt;N(H405),$E406,0)</f>
        <v>0</v>
      </c>
      <c r="J406" s="79" t="n">
        <f aca="false">IFERROR(IF(AND($A406&lt;&gt;"",$E406&lt;&gt;"",$A406&gt;=PeriodStart,$A406&lt;=PeriodEnd),$E406+ROW()/1000000,0),0)</f>
        <v>0</v>
      </c>
    </row>
    <row r="407" customFormat="false" ht="15" hidden="false" customHeight="false" outlineLevel="0" collapsed="false">
      <c r="A407" s="75"/>
      <c r="B407" s="76"/>
      <c r="C407" s="77"/>
      <c r="D407" s="77"/>
      <c r="E407" s="78"/>
      <c r="F407" s="77"/>
      <c r="G407" s="77"/>
      <c r="H407" s="79" t="n">
        <f aca="false">N(H406)+IFERROR(IF(AND($A407&lt;&gt;"",$E407&lt;&gt;"",$A407&gt;=IF(Search!$E$4="",0,Search!$E$4),$A407&lt;=IF(Search!$E$5="",99999,Search!$E$5),OR(Search!$E$6="",ISNUMBER(SEARCH(Search!$E$6,$C407))),OR(Search!$E$7="All",Search!$E$7="",$D407=Search!$E$7),OR(Search!$E$8="",Search!$E$9="",AND($B407&lt;&gt;"",MOD($B407,1)&gt;=Search!$E$8,MOD($B407,1)&lt;=Search!$E$9))),1,0),0)</f>
        <v>0</v>
      </c>
      <c r="I407" s="79" t="n">
        <f aca="false">IF(H407&gt;N(H406),$E407,0)</f>
        <v>0</v>
      </c>
      <c r="J407" s="79" t="n">
        <f aca="false">IFERROR(IF(AND($A407&lt;&gt;"",$E407&lt;&gt;"",$A407&gt;=PeriodStart,$A407&lt;=PeriodEnd),$E407+ROW()/1000000,0),0)</f>
        <v>0</v>
      </c>
    </row>
    <row r="408" customFormat="false" ht="15" hidden="false" customHeight="false" outlineLevel="0" collapsed="false">
      <c r="A408" s="75"/>
      <c r="B408" s="76"/>
      <c r="C408" s="77"/>
      <c r="D408" s="77"/>
      <c r="E408" s="78"/>
      <c r="F408" s="77"/>
      <c r="G408" s="77"/>
      <c r="H408" s="79" t="n">
        <f aca="false">N(H407)+IFERROR(IF(AND($A408&lt;&gt;"",$E408&lt;&gt;"",$A408&gt;=IF(Search!$E$4="",0,Search!$E$4),$A408&lt;=IF(Search!$E$5="",99999,Search!$E$5),OR(Search!$E$6="",ISNUMBER(SEARCH(Search!$E$6,$C408))),OR(Search!$E$7="All",Search!$E$7="",$D408=Search!$E$7),OR(Search!$E$8="",Search!$E$9="",AND($B408&lt;&gt;"",MOD($B408,1)&gt;=Search!$E$8,MOD($B408,1)&lt;=Search!$E$9))),1,0),0)</f>
        <v>0</v>
      </c>
      <c r="I408" s="79" t="n">
        <f aca="false">IF(H408&gt;N(H407),$E408,0)</f>
        <v>0</v>
      </c>
      <c r="J408" s="79" t="n">
        <f aca="false">IFERROR(IF(AND($A408&lt;&gt;"",$E408&lt;&gt;"",$A408&gt;=PeriodStart,$A408&lt;=PeriodEnd),$E408+ROW()/1000000,0),0)</f>
        <v>0</v>
      </c>
    </row>
    <row r="409" customFormat="false" ht="15" hidden="false" customHeight="false" outlineLevel="0" collapsed="false">
      <c r="A409" s="75"/>
      <c r="B409" s="76"/>
      <c r="C409" s="77"/>
      <c r="D409" s="77"/>
      <c r="E409" s="78"/>
      <c r="F409" s="77"/>
      <c r="G409" s="77"/>
      <c r="H409" s="79" t="n">
        <f aca="false">N(H408)+IFERROR(IF(AND($A409&lt;&gt;"",$E409&lt;&gt;"",$A409&gt;=IF(Search!$E$4="",0,Search!$E$4),$A409&lt;=IF(Search!$E$5="",99999,Search!$E$5),OR(Search!$E$6="",ISNUMBER(SEARCH(Search!$E$6,$C409))),OR(Search!$E$7="All",Search!$E$7="",$D409=Search!$E$7),OR(Search!$E$8="",Search!$E$9="",AND($B409&lt;&gt;"",MOD($B409,1)&gt;=Search!$E$8,MOD($B409,1)&lt;=Search!$E$9))),1,0),0)</f>
        <v>0</v>
      </c>
      <c r="I409" s="79" t="n">
        <f aca="false">IF(H409&gt;N(H408),$E409,0)</f>
        <v>0</v>
      </c>
      <c r="J409" s="79" t="n">
        <f aca="false">IFERROR(IF(AND($A409&lt;&gt;"",$E409&lt;&gt;"",$A409&gt;=PeriodStart,$A409&lt;=PeriodEnd),$E409+ROW()/1000000,0),0)</f>
        <v>0</v>
      </c>
    </row>
    <row r="410" customFormat="false" ht="15" hidden="false" customHeight="false" outlineLevel="0" collapsed="false">
      <c r="A410" s="75"/>
      <c r="B410" s="76"/>
      <c r="C410" s="77"/>
      <c r="D410" s="77"/>
      <c r="E410" s="78"/>
      <c r="F410" s="77"/>
      <c r="G410" s="77"/>
      <c r="H410" s="79" t="n">
        <f aca="false">N(H409)+IFERROR(IF(AND($A410&lt;&gt;"",$E410&lt;&gt;"",$A410&gt;=IF(Search!$E$4="",0,Search!$E$4),$A410&lt;=IF(Search!$E$5="",99999,Search!$E$5),OR(Search!$E$6="",ISNUMBER(SEARCH(Search!$E$6,$C410))),OR(Search!$E$7="All",Search!$E$7="",$D410=Search!$E$7),OR(Search!$E$8="",Search!$E$9="",AND($B410&lt;&gt;"",MOD($B410,1)&gt;=Search!$E$8,MOD($B410,1)&lt;=Search!$E$9))),1,0),0)</f>
        <v>0</v>
      </c>
      <c r="I410" s="79" t="n">
        <f aca="false">IF(H410&gt;N(H409),$E410,0)</f>
        <v>0</v>
      </c>
      <c r="J410" s="79" t="n">
        <f aca="false">IFERROR(IF(AND($A410&lt;&gt;"",$E410&lt;&gt;"",$A410&gt;=PeriodStart,$A410&lt;=PeriodEnd),$E410+ROW()/1000000,0),0)</f>
        <v>0</v>
      </c>
    </row>
    <row r="411" customFormat="false" ht="15" hidden="false" customHeight="false" outlineLevel="0" collapsed="false">
      <c r="A411" s="75"/>
      <c r="B411" s="76"/>
      <c r="C411" s="77"/>
      <c r="D411" s="77"/>
      <c r="E411" s="78"/>
      <c r="F411" s="77"/>
      <c r="G411" s="77"/>
      <c r="H411" s="79" t="n">
        <f aca="false">N(H410)+IFERROR(IF(AND($A411&lt;&gt;"",$E411&lt;&gt;"",$A411&gt;=IF(Search!$E$4="",0,Search!$E$4),$A411&lt;=IF(Search!$E$5="",99999,Search!$E$5),OR(Search!$E$6="",ISNUMBER(SEARCH(Search!$E$6,$C411))),OR(Search!$E$7="All",Search!$E$7="",$D411=Search!$E$7),OR(Search!$E$8="",Search!$E$9="",AND($B411&lt;&gt;"",MOD($B411,1)&gt;=Search!$E$8,MOD($B411,1)&lt;=Search!$E$9))),1,0),0)</f>
        <v>0</v>
      </c>
      <c r="I411" s="79" t="n">
        <f aca="false">IF(H411&gt;N(H410),$E411,0)</f>
        <v>0</v>
      </c>
      <c r="J411" s="79" t="n">
        <f aca="false">IFERROR(IF(AND($A411&lt;&gt;"",$E411&lt;&gt;"",$A411&gt;=PeriodStart,$A411&lt;=PeriodEnd),$E411+ROW()/1000000,0),0)</f>
        <v>0</v>
      </c>
    </row>
    <row r="412" customFormat="false" ht="15" hidden="false" customHeight="false" outlineLevel="0" collapsed="false">
      <c r="A412" s="75"/>
      <c r="B412" s="76"/>
      <c r="C412" s="77"/>
      <c r="D412" s="77"/>
      <c r="E412" s="78"/>
      <c r="F412" s="77"/>
      <c r="G412" s="77"/>
      <c r="H412" s="79" t="n">
        <f aca="false">N(H411)+IFERROR(IF(AND($A412&lt;&gt;"",$E412&lt;&gt;"",$A412&gt;=IF(Search!$E$4="",0,Search!$E$4),$A412&lt;=IF(Search!$E$5="",99999,Search!$E$5),OR(Search!$E$6="",ISNUMBER(SEARCH(Search!$E$6,$C412))),OR(Search!$E$7="All",Search!$E$7="",$D412=Search!$E$7),OR(Search!$E$8="",Search!$E$9="",AND($B412&lt;&gt;"",MOD($B412,1)&gt;=Search!$E$8,MOD($B412,1)&lt;=Search!$E$9))),1,0),0)</f>
        <v>0</v>
      </c>
      <c r="I412" s="79" t="n">
        <f aca="false">IF(H412&gt;N(H411),$E412,0)</f>
        <v>0</v>
      </c>
      <c r="J412" s="79" t="n">
        <f aca="false">IFERROR(IF(AND($A412&lt;&gt;"",$E412&lt;&gt;"",$A412&gt;=PeriodStart,$A412&lt;=PeriodEnd),$E412+ROW()/1000000,0),0)</f>
        <v>0</v>
      </c>
    </row>
    <row r="413" customFormat="false" ht="15" hidden="false" customHeight="false" outlineLevel="0" collapsed="false">
      <c r="A413" s="75"/>
      <c r="B413" s="76"/>
      <c r="C413" s="77"/>
      <c r="D413" s="77"/>
      <c r="E413" s="78"/>
      <c r="F413" s="77"/>
      <c r="G413" s="77"/>
      <c r="H413" s="79" t="n">
        <f aca="false">N(H412)+IFERROR(IF(AND($A413&lt;&gt;"",$E413&lt;&gt;"",$A413&gt;=IF(Search!$E$4="",0,Search!$E$4),$A413&lt;=IF(Search!$E$5="",99999,Search!$E$5),OR(Search!$E$6="",ISNUMBER(SEARCH(Search!$E$6,$C413))),OR(Search!$E$7="All",Search!$E$7="",$D413=Search!$E$7),OR(Search!$E$8="",Search!$E$9="",AND($B413&lt;&gt;"",MOD($B413,1)&gt;=Search!$E$8,MOD($B413,1)&lt;=Search!$E$9))),1,0),0)</f>
        <v>0</v>
      </c>
      <c r="I413" s="79" t="n">
        <f aca="false">IF(H413&gt;N(H412),$E413,0)</f>
        <v>0</v>
      </c>
      <c r="J413" s="79" t="n">
        <f aca="false">IFERROR(IF(AND($A413&lt;&gt;"",$E413&lt;&gt;"",$A413&gt;=PeriodStart,$A413&lt;=PeriodEnd),$E413+ROW()/1000000,0),0)</f>
        <v>0</v>
      </c>
    </row>
    <row r="414" customFormat="false" ht="15" hidden="false" customHeight="false" outlineLevel="0" collapsed="false">
      <c r="A414" s="75"/>
      <c r="B414" s="76"/>
      <c r="C414" s="77"/>
      <c r="D414" s="77"/>
      <c r="E414" s="78"/>
      <c r="F414" s="77"/>
      <c r="G414" s="77"/>
      <c r="H414" s="79" t="n">
        <f aca="false">N(H413)+IFERROR(IF(AND($A414&lt;&gt;"",$E414&lt;&gt;"",$A414&gt;=IF(Search!$E$4="",0,Search!$E$4),$A414&lt;=IF(Search!$E$5="",99999,Search!$E$5),OR(Search!$E$6="",ISNUMBER(SEARCH(Search!$E$6,$C414))),OR(Search!$E$7="All",Search!$E$7="",$D414=Search!$E$7),OR(Search!$E$8="",Search!$E$9="",AND($B414&lt;&gt;"",MOD($B414,1)&gt;=Search!$E$8,MOD($B414,1)&lt;=Search!$E$9))),1,0),0)</f>
        <v>0</v>
      </c>
      <c r="I414" s="79" t="n">
        <f aca="false">IF(H414&gt;N(H413),$E414,0)</f>
        <v>0</v>
      </c>
      <c r="J414" s="79" t="n">
        <f aca="false">IFERROR(IF(AND($A414&lt;&gt;"",$E414&lt;&gt;"",$A414&gt;=PeriodStart,$A414&lt;=PeriodEnd),$E414+ROW()/1000000,0),0)</f>
        <v>0</v>
      </c>
    </row>
    <row r="415" customFormat="false" ht="15" hidden="false" customHeight="false" outlineLevel="0" collapsed="false">
      <c r="A415" s="75"/>
      <c r="B415" s="76"/>
      <c r="C415" s="77"/>
      <c r="D415" s="77"/>
      <c r="E415" s="78"/>
      <c r="F415" s="77"/>
      <c r="G415" s="77"/>
      <c r="H415" s="79" t="n">
        <f aca="false">N(H414)+IFERROR(IF(AND($A415&lt;&gt;"",$E415&lt;&gt;"",$A415&gt;=IF(Search!$E$4="",0,Search!$E$4),$A415&lt;=IF(Search!$E$5="",99999,Search!$E$5),OR(Search!$E$6="",ISNUMBER(SEARCH(Search!$E$6,$C415))),OR(Search!$E$7="All",Search!$E$7="",$D415=Search!$E$7),OR(Search!$E$8="",Search!$E$9="",AND($B415&lt;&gt;"",MOD($B415,1)&gt;=Search!$E$8,MOD($B415,1)&lt;=Search!$E$9))),1,0),0)</f>
        <v>0</v>
      </c>
      <c r="I415" s="79" t="n">
        <f aca="false">IF(H415&gt;N(H414),$E415,0)</f>
        <v>0</v>
      </c>
      <c r="J415" s="79" t="n">
        <f aca="false">IFERROR(IF(AND($A415&lt;&gt;"",$E415&lt;&gt;"",$A415&gt;=PeriodStart,$A415&lt;=PeriodEnd),$E415+ROW()/1000000,0),0)</f>
        <v>0</v>
      </c>
    </row>
    <row r="416" customFormat="false" ht="15" hidden="false" customHeight="false" outlineLevel="0" collapsed="false">
      <c r="A416" s="75"/>
      <c r="B416" s="76"/>
      <c r="C416" s="77"/>
      <c r="D416" s="77"/>
      <c r="E416" s="78"/>
      <c r="F416" s="77"/>
      <c r="G416" s="77"/>
      <c r="H416" s="79" t="n">
        <f aca="false">N(H415)+IFERROR(IF(AND($A416&lt;&gt;"",$E416&lt;&gt;"",$A416&gt;=IF(Search!$E$4="",0,Search!$E$4),$A416&lt;=IF(Search!$E$5="",99999,Search!$E$5),OR(Search!$E$6="",ISNUMBER(SEARCH(Search!$E$6,$C416))),OR(Search!$E$7="All",Search!$E$7="",$D416=Search!$E$7),OR(Search!$E$8="",Search!$E$9="",AND($B416&lt;&gt;"",MOD($B416,1)&gt;=Search!$E$8,MOD($B416,1)&lt;=Search!$E$9))),1,0),0)</f>
        <v>0</v>
      </c>
      <c r="I416" s="79" t="n">
        <f aca="false">IF(H416&gt;N(H415),$E416,0)</f>
        <v>0</v>
      </c>
      <c r="J416" s="79" t="n">
        <f aca="false">IFERROR(IF(AND($A416&lt;&gt;"",$E416&lt;&gt;"",$A416&gt;=PeriodStart,$A416&lt;=PeriodEnd),$E416+ROW()/1000000,0),0)</f>
        <v>0</v>
      </c>
    </row>
    <row r="417" customFormat="false" ht="15" hidden="false" customHeight="false" outlineLevel="0" collapsed="false">
      <c r="A417" s="75"/>
      <c r="B417" s="76"/>
      <c r="C417" s="77"/>
      <c r="D417" s="77"/>
      <c r="E417" s="78"/>
      <c r="F417" s="77"/>
      <c r="G417" s="77"/>
      <c r="H417" s="79" t="n">
        <f aca="false">N(H416)+IFERROR(IF(AND($A417&lt;&gt;"",$E417&lt;&gt;"",$A417&gt;=IF(Search!$E$4="",0,Search!$E$4),$A417&lt;=IF(Search!$E$5="",99999,Search!$E$5),OR(Search!$E$6="",ISNUMBER(SEARCH(Search!$E$6,$C417))),OR(Search!$E$7="All",Search!$E$7="",$D417=Search!$E$7),OR(Search!$E$8="",Search!$E$9="",AND($B417&lt;&gt;"",MOD($B417,1)&gt;=Search!$E$8,MOD($B417,1)&lt;=Search!$E$9))),1,0),0)</f>
        <v>0</v>
      </c>
      <c r="I417" s="79" t="n">
        <f aca="false">IF(H417&gt;N(H416),$E417,0)</f>
        <v>0</v>
      </c>
      <c r="J417" s="79" t="n">
        <f aca="false">IFERROR(IF(AND($A417&lt;&gt;"",$E417&lt;&gt;"",$A417&gt;=PeriodStart,$A417&lt;=PeriodEnd),$E417+ROW()/1000000,0),0)</f>
        <v>0</v>
      </c>
    </row>
    <row r="418" customFormat="false" ht="15" hidden="false" customHeight="false" outlineLevel="0" collapsed="false">
      <c r="A418" s="75"/>
      <c r="B418" s="76"/>
      <c r="C418" s="77"/>
      <c r="D418" s="77"/>
      <c r="E418" s="78"/>
      <c r="F418" s="77"/>
      <c r="G418" s="77"/>
      <c r="H418" s="79" t="n">
        <f aca="false">N(H417)+IFERROR(IF(AND($A418&lt;&gt;"",$E418&lt;&gt;"",$A418&gt;=IF(Search!$E$4="",0,Search!$E$4),$A418&lt;=IF(Search!$E$5="",99999,Search!$E$5),OR(Search!$E$6="",ISNUMBER(SEARCH(Search!$E$6,$C418))),OR(Search!$E$7="All",Search!$E$7="",$D418=Search!$E$7),OR(Search!$E$8="",Search!$E$9="",AND($B418&lt;&gt;"",MOD($B418,1)&gt;=Search!$E$8,MOD($B418,1)&lt;=Search!$E$9))),1,0),0)</f>
        <v>0</v>
      </c>
      <c r="I418" s="79" t="n">
        <f aca="false">IF(H418&gt;N(H417),$E418,0)</f>
        <v>0</v>
      </c>
      <c r="J418" s="79" t="n">
        <f aca="false">IFERROR(IF(AND($A418&lt;&gt;"",$E418&lt;&gt;"",$A418&gt;=PeriodStart,$A418&lt;=PeriodEnd),$E418+ROW()/1000000,0),0)</f>
        <v>0</v>
      </c>
    </row>
    <row r="419" customFormat="false" ht="15" hidden="false" customHeight="false" outlineLevel="0" collapsed="false">
      <c r="A419" s="75"/>
      <c r="B419" s="76"/>
      <c r="C419" s="77"/>
      <c r="D419" s="77"/>
      <c r="E419" s="78"/>
      <c r="F419" s="77"/>
      <c r="G419" s="77"/>
      <c r="H419" s="79" t="n">
        <f aca="false">N(H418)+IFERROR(IF(AND($A419&lt;&gt;"",$E419&lt;&gt;"",$A419&gt;=IF(Search!$E$4="",0,Search!$E$4),$A419&lt;=IF(Search!$E$5="",99999,Search!$E$5),OR(Search!$E$6="",ISNUMBER(SEARCH(Search!$E$6,$C419))),OR(Search!$E$7="All",Search!$E$7="",$D419=Search!$E$7),OR(Search!$E$8="",Search!$E$9="",AND($B419&lt;&gt;"",MOD($B419,1)&gt;=Search!$E$8,MOD($B419,1)&lt;=Search!$E$9))),1,0),0)</f>
        <v>0</v>
      </c>
      <c r="I419" s="79" t="n">
        <f aca="false">IF(H419&gt;N(H418),$E419,0)</f>
        <v>0</v>
      </c>
      <c r="J419" s="79" t="n">
        <f aca="false">IFERROR(IF(AND($A419&lt;&gt;"",$E419&lt;&gt;"",$A419&gt;=PeriodStart,$A419&lt;=PeriodEnd),$E419+ROW()/1000000,0),0)</f>
        <v>0</v>
      </c>
    </row>
    <row r="420" customFormat="false" ht="15" hidden="false" customHeight="false" outlineLevel="0" collapsed="false">
      <c r="A420" s="75"/>
      <c r="B420" s="76"/>
      <c r="C420" s="77"/>
      <c r="D420" s="77"/>
      <c r="E420" s="78"/>
      <c r="F420" s="77"/>
      <c r="G420" s="77"/>
      <c r="H420" s="79" t="n">
        <f aca="false">N(H419)+IFERROR(IF(AND($A420&lt;&gt;"",$E420&lt;&gt;"",$A420&gt;=IF(Search!$E$4="",0,Search!$E$4),$A420&lt;=IF(Search!$E$5="",99999,Search!$E$5),OR(Search!$E$6="",ISNUMBER(SEARCH(Search!$E$6,$C420))),OR(Search!$E$7="All",Search!$E$7="",$D420=Search!$E$7),OR(Search!$E$8="",Search!$E$9="",AND($B420&lt;&gt;"",MOD($B420,1)&gt;=Search!$E$8,MOD($B420,1)&lt;=Search!$E$9))),1,0),0)</f>
        <v>0</v>
      </c>
      <c r="I420" s="79" t="n">
        <f aca="false">IF(H420&gt;N(H419),$E420,0)</f>
        <v>0</v>
      </c>
      <c r="J420" s="79" t="n">
        <f aca="false">IFERROR(IF(AND($A420&lt;&gt;"",$E420&lt;&gt;"",$A420&gt;=PeriodStart,$A420&lt;=PeriodEnd),$E420+ROW()/1000000,0),0)</f>
        <v>0</v>
      </c>
    </row>
    <row r="421" customFormat="false" ht="15" hidden="false" customHeight="false" outlineLevel="0" collapsed="false">
      <c r="A421" s="75"/>
      <c r="B421" s="76"/>
      <c r="C421" s="77"/>
      <c r="D421" s="77"/>
      <c r="E421" s="78"/>
      <c r="F421" s="77"/>
      <c r="G421" s="77"/>
      <c r="H421" s="79" t="n">
        <f aca="false">N(H420)+IFERROR(IF(AND($A421&lt;&gt;"",$E421&lt;&gt;"",$A421&gt;=IF(Search!$E$4="",0,Search!$E$4),$A421&lt;=IF(Search!$E$5="",99999,Search!$E$5),OR(Search!$E$6="",ISNUMBER(SEARCH(Search!$E$6,$C421))),OR(Search!$E$7="All",Search!$E$7="",$D421=Search!$E$7),OR(Search!$E$8="",Search!$E$9="",AND($B421&lt;&gt;"",MOD($B421,1)&gt;=Search!$E$8,MOD($B421,1)&lt;=Search!$E$9))),1,0),0)</f>
        <v>0</v>
      </c>
      <c r="I421" s="79" t="n">
        <f aca="false">IF(H421&gt;N(H420),$E421,0)</f>
        <v>0</v>
      </c>
      <c r="J421" s="79" t="n">
        <f aca="false">IFERROR(IF(AND($A421&lt;&gt;"",$E421&lt;&gt;"",$A421&gt;=PeriodStart,$A421&lt;=PeriodEnd),$E421+ROW()/1000000,0),0)</f>
        <v>0</v>
      </c>
    </row>
    <row r="422" customFormat="false" ht="15" hidden="false" customHeight="false" outlineLevel="0" collapsed="false">
      <c r="A422" s="75"/>
      <c r="B422" s="76"/>
      <c r="C422" s="77"/>
      <c r="D422" s="77"/>
      <c r="E422" s="78"/>
      <c r="F422" s="77"/>
      <c r="G422" s="77"/>
      <c r="H422" s="79" t="n">
        <f aca="false">N(H421)+IFERROR(IF(AND($A422&lt;&gt;"",$E422&lt;&gt;"",$A422&gt;=IF(Search!$E$4="",0,Search!$E$4),$A422&lt;=IF(Search!$E$5="",99999,Search!$E$5),OR(Search!$E$6="",ISNUMBER(SEARCH(Search!$E$6,$C422))),OR(Search!$E$7="All",Search!$E$7="",$D422=Search!$E$7),OR(Search!$E$8="",Search!$E$9="",AND($B422&lt;&gt;"",MOD($B422,1)&gt;=Search!$E$8,MOD($B422,1)&lt;=Search!$E$9))),1,0),0)</f>
        <v>0</v>
      </c>
      <c r="I422" s="79" t="n">
        <f aca="false">IF(H422&gt;N(H421),$E422,0)</f>
        <v>0</v>
      </c>
      <c r="J422" s="79" t="n">
        <f aca="false">IFERROR(IF(AND($A422&lt;&gt;"",$E422&lt;&gt;"",$A422&gt;=PeriodStart,$A422&lt;=PeriodEnd),$E422+ROW()/1000000,0),0)</f>
        <v>0</v>
      </c>
    </row>
    <row r="423" customFormat="false" ht="15" hidden="false" customHeight="false" outlineLevel="0" collapsed="false">
      <c r="A423" s="75"/>
      <c r="B423" s="76"/>
      <c r="C423" s="77"/>
      <c r="D423" s="77"/>
      <c r="E423" s="78"/>
      <c r="F423" s="77"/>
      <c r="G423" s="77"/>
      <c r="H423" s="79" t="n">
        <f aca="false">N(H422)+IFERROR(IF(AND($A423&lt;&gt;"",$E423&lt;&gt;"",$A423&gt;=IF(Search!$E$4="",0,Search!$E$4),$A423&lt;=IF(Search!$E$5="",99999,Search!$E$5),OR(Search!$E$6="",ISNUMBER(SEARCH(Search!$E$6,$C423))),OR(Search!$E$7="All",Search!$E$7="",$D423=Search!$E$7),OR(Search!$E$8="",Search!$E$9="",AND($B423&lt;&gt;"",MOD($B423,1)&gt;=Search!$E$8,MOD($B423,1)&lt;=Search!$E$9))),1,0),0)</f>
        <v>0</v>
      </c>
      <c r="I423" s="79" t="n">
        <f aca="false">IF(H423&gt;N(H422),$E423,0)</f>
        <v>0</v>
      </c>
      <c r="J423" s="79" t="n">
        <f aca="false">IFERROR(IF(AND($A423&lt;&gt;"",$E423&lt;&gt;"",$A423&gt;=PeriodStart,$A423&lt;=PeriodEnd),$E423+ROW()/1000000,0),0)</f>
        <v>0</v>
      </c>
    </row>
    <row r="424" customFormat="false" ht="15" hidden="false" customHeight="false" outlineLevel="0" collapsed="false">
      <c r="A424" s="75"/>
      <c r="B424" s="76"/>
      <c r="C424" s="77"/>
      <c r="D424" s="77"/>
      <c r="E424" s="78"/>
      <c r="F424" s="77"/>
      <c r="G424" s="77"/>
      <c r="H424" s="79" t="n">
        <f aca="false">N(H423)+IFERROR(IF(AND($A424&lt;&gt;"",$E424&lt;&gt;"",$A424&gt;=IF(Search!$E$4="",0,Search!$E$4),$A424&lt;=IF(Search!$E$5="",99999,Search!$E$5),OR(Search!$E$6="",ISNUMBER(SEARCH(Search!$E$6,$C424))),OR(Search!$E$7="All",Search!$E$7="",$D424=Search!$E$7),OR(Search!$E$8="",Search!$E$9="",AND($B424&lt;&gt;"",MOD($B424,1)&gt;=Search!$E$8,MOD($B424,1)&lt;=Search!$E$9))),1,0),0)</f>
        <v>0</v>
      </c>
      <c r="I424" s="79" t="n">
        <f aca="false">IF(H424&gt;N(H423),$E424,0)</f>
        <v>0</v>
      </c>
      <c r="J424" s="79" t="n">
        <f aca="false">IFERROR(IF(AND($A424&lt;&gt;"",$E424&lt;&gt;"",$A424&gt;=PeriodStart,$A424&lt;=PeriodEnd),$E424+ROW()/1000000,0),0)</f>
        <v>0</v>
      </c>
    </row>
    <row r="425" customFormat="false" ht="15" hidden="false" customHeight="false" outlineLevel="0" collapsed="false">
      <c r="A425" s="75"/>
      <c r="B425" s="76"/>
      <c r="C425" s="77"/>
      <c r="D425" s="77"/>
      <c r="E425" s="78"/>
      <c r="F425" s="77"/>
      <c r="G425" s="77"/>
      <c r="H425" s="79" t="n">
        <f aca="false">N(H424)+IFERROR(IF(AND($A425&lt;&gt;"",$E425&lt;&gt;"",$A425&gt;=IF(Search!$E$4="",0,Search!$E$4),$A425&lt;=IF(Search!$E$5="",99999,Search!$E$5),OR(Search!$E$6="",ISNUMBER(SEARCH(Search!$E$6,$C425))),OR(Search!$E$7="All",Search!$E$7="",$D425=Search!$E$7),OR(Search!$E$8="",Search!$E$9="",AND($B425&lt;&gt;"",MOD($B425,1)&gt;=Search!$E$8,MOD($B425,1)&lt;=Search!$E$9))),1,0),0)</f>
        <v>0</v>
      </c>
      <c r="I425" s="79" t="n">
        <f aca="false">IF(H425&gt;N(H424),$E425,0)</f>
        <v>0</v>
      </c>
      <c r="J425" s="79" t="n">
        <f aca="false">IFERROR(IF(AND($A425&lt;&gt;"",$E425&lt;&gt;"",$A425&gt;=PeriodStart,$A425&lt;=PeriodEnd),$E425+ROW()/1000000,0),0)</f>
        <v>0</v>
      </c>
    </row>
    <row r="426" customFormat="false" ht="15" hidden="false" customHeight="false" outlineLevel="0" collapsed="false">
      <c r="A426" s="75"/>
      <c r="B426" s="76"/>
      <c r="C426" s="77"/>
      <c r="D426" s="77"/>
      <c r="E426" s="78"/>
      <c r="F426" s="77"/>
      <c r="G426" s="77"/>
      <c r="H426" s="79" t="n">
        <f aca="false">N(H425)+IFERROR(IF(AND($A426&lt;&gt;"",$E426&lt;&gt;"",$A426&gt;=IF(Search!$E$4="",0,Search!$E$4),$A426&lt;=IF(Search!$E$5="",99999,Search!$E$5),OR(Search!$E$6="",ISNUMBER(SEARCH(Search!$E$6,$C426))),OR(Search!$E$7="All",Search!$E$7="",$D426=Search!$E$7),OR(Search!$E$8="",Search!$E$9="",AND($B426&lt;&gt;"",MOD($B426,1)&gt;=Search!$E$8,MOD($B426,1)&lt;=Search!$E$9))),1,0),0)</f>
        <v>0</v>
      </c>
      <c r="I426" s="79" t="n">
        <f aca="false">IF(H426&gt;N(H425),$E426,0)</f>
        <v>0</v>
      </c>
      <c r="J426" s="79" t="n">
        <f aca="false">IFERROR(IF(AND($A426&lt;&gt;"",$E426&lt;&gt;"",$A426&gt;=PeriodStart,$A426&lt;=PeriodEnd),$E426+ROW()/1000000,0),0)</f>
        <v>0</v>
      </c>
    </row>
    <row r="427" customFormat="false" ht="15" hidden="false" customHeight="false" outlineLevel="0" collapsed="false">
      <c r="A427" s="75"/>
      <c r="B427" s="76"/>
      <c r="C427" s="77"/>
      <c r="D427" s="77"/>
      <c r="E427" s="78"/>
      <c r="F427" s="77"/>
      <c r="G427" s="77"/>
      <c r="H427" s="79" t="n">
        <f aca="false">N(H426)+IFERROR(IF(AND($A427&lt;&gt;"",$E427&lt;&gt;"",$A427&gt;=IF(Search!$E$4="",0,Search!$E$4),$A427&lt;=IF(Search!$E$5="",99999,Search!$E$5),OR(Search!$E$6="",ISNUMBER(SEARCH(Search!$E$6,$C427))),OR(Search!$E$7="All",Search!$E$7="",$D427=Search!$E$7),OR(Search!$E$8="",Search!$E$9="",AND($B427&lt;&gt;"",MOD($B427,1)&gt;=Search!$E$8,MOD($B427,1)&lt;=Search!$E$9))),1,0),0)</f>
        <v>0</v>
      </c>
      <c r="I427" s="79" t="n">
        <f aca="false">IF(H427&gt;N(H426),$E427,0)</f>
        <v>0</v>
      </c>
      <c r="J427" s="79" t="n">
        <f aca="false">IFERROR(IF(AND($A427&lt;&gt;"",$E427&lt;&gt;"",$A427&gt;=PeriodStart,$A427&lt;=PeriodEnd),$E427+ROW()/1000000,0),0)</f>
        <v>0</v>
      </c>
    </row>
    <row r="428" customFormat="false" ht="15" hidden="false" customHeight="false" outlineLevel="0" collapsed="false">
      <c r="A428" s="75"/>
      <c r="B428" s="76"/>
      <c r="C428" s="77"/>
      <c r="D428" s="77"/>
      <c r="E428" s="78"/>
      <c r="F428" s="77"/>
      <c r="G428" s="77"/>
      <c r="H428" s="79" t="n">
        <f aca="false">N(H427)+IFERROR(IF(AND($A428&lt;&gt;"",$E428&lt;&gt;"",$A428&gt;=IF(Search!$E$4="",0,Search!$E$4),$A428&lt;=IF(Search!$E$5="",99999,Search!$E$5),OR(Search!$E$6="",ISNUMBER(SEARCH(Search!$E$6,$C428))),OR(Search!$E$7="All",Search!$E$7="",$D428=Search!$E$7),OR(Search!$E$8="",Search!$E$9="",AND($B428&lt;&gt;"",MOD($B428,1)&gt;=Search!$E$8,MOD($B428,1)&lt;=Search!$E$9))),1,0),0)</f>
        <v>0</v>
      </c>
      <c r="I428" s="79" t="n">
        <f aca="false">IF(H428&gt;N(H427),$E428,0)</f>
        <v>0</v>
      </c>
      <c r="J428" s="79" t="n">
        <f aca="false">IFERROR(IF(AND($A428&lt;&gt;"",$E428&lt;&gt;"",$A428&gt;=PeriodStart,$A428&lt;=PeriodEnd),$E428+ROW()/1000000,0),0)</f>
        <v>0</v>
      </c>
    </row>
    <row r="429" customFormat="false" ht="15" hidden="false" customHeight="false" outlineLevel="0" collapsed="false">
      <c r="A429" s="75"/>
      <c r="B429" s="76"/>
      <c r="C429" s="77"/>
      <c r="D429" s="77"/>
      <c r="E429" s="78"/>
      <c r="F429" s="77"/>
      <c r="G429" s="77"/>
      <c r="H429" s="79" t="n">
        <f aca="false">N(H428)+IFERROR(IF(AND($A429&lt;&gt;"",$E429&lt;&gt;"",$A429&gt;=IF(Search!$E$4="",0,Search!$E$4),$A429&lt;=IF(Search!$E$5="",99999,Search!$E$5),OR(Search!$E$6="",ISNUMBER(SEARCH(Search!$E$6,$C429))),OR(Search!$E$7="All",Search!$E$7="",$D429=Search!$E$7),OR(Search!$E$8="",Search!$E$9="",AND($B429&lt;&gt;"",MOD($B429,1)&gt;=Search!$E$8,MOD($B429,1)&lt;=Search!$E$9))),1,0),0)</f>
        <v>0</v>
      </c>
      <c r="I429" s="79" t="n">
        <f aca="false">IF(H429&gt;N(H428),$E429,0)</f>
        <v>0</v>
      </c>
      <c r="J429" s="79" t="n">
        <f aca="false">IFERROR(IF(AND($A429&lt;&gt;"",$E429&lt;&gt;"",$A429&gt;=PeriodStart,$A429&lt;=PeriodEnd),$E429+ROW()/1000000,0),0)</f>
        <v>0</v>
      </c>
    </row>
    <row r="430" customFormat="false" ht="15" hidden="false" customHeight="false" outlineLevel="0" collapsed="false">
      <c r="A430" s="75"/>
      <c r="B430" s="76"/>
      <c r="C430" s="77"/>
      <c r="D430" s="77"/>
      <c r="E430" s="78"/>
      <c r="F430" s="77"/>
      <c r="G430" s="77"/>
      <c r="H430" s="79" t="n">
        <f aca="false">N(H429)+IFERROR(IF(AND($A430&lt;&gt;"",$E430&lt;&gt;"",$A430&gt;=IF(Search!$E$4="",0,Search!$E$4),$A430&lt;=IF(Search!$E$5="",99999,Search!$E$5),OR(Search!$E$6="",ISNUMBER(SEARCH(Search!$E$6,$C430))),OR(Search!$E$7="All",Search!$E$7="",$D430=Search!$E$7),OR(Search!$E$8="",Search!$E$9="",AND($B430&lt;&gt;"",MOD($B430,1)&gt;=Search!$E$8,MOD($B430,1)&lt;=Search!$E$9))),1,0),0)</f>
        <v>0</v>
      </c>
      <c r="I430" s="79" t="n">
        <f aca="false">IF(H430&gt;N(H429),$E430,0)</f>
        <v>0</v>
      </c>
      <c r="J430" s="79" t="n">
        <f aca="false">IFERROR(IF(AND($A430&lt;&gt;"",$E430&lt;&gt;"",$A430&gt;=PeriodStart,$A430&lt;=PeriodEnd),$E430+ROW()/1000000,0),0)</f>
        <v>0</v>
      </c>
    </row>
    <row r="431" customFormat="false" ht="15" hidden="false" customHeight="false" outlineLevel="0" collapsed="false">
      <c r="A431" s="75"/>
      <c r="B431" s="76"/>
      <c r="C431" s="77"/>
      <c r="D431" s="77"/>
      <c r="E431" s="78"/>
      <c r="F431" s="77"/>
      <c r="G431" s="77"/>
      <c r="H431" s="79" t="n">
        <f aca="false">N(H430)+IFERROR(IF(AND($A431&lt;&gt;"",$E431&lt;&gt;"",$A431&gt;=IF(Search!$E$4="",0,Search!$E$4),$A431&lt;=IF(Search!$E$5="",99999,Search!$E$5),OR(Search!$E$6="",ISNUMBER(SEARCH(Search!$E$6,$C431))),OR(Search!$E$7="All",Search!$E$7="",$D431=Search!$E$7),OR(Search!$E$8="",Search!$E$9="",AND($B431&lt;&gt;"",MOD($B431,1)&gt;=Search!$E$8,MOD($B431,1)&lt;=Search!$E$9))),1,0),0)</f>
        <v>0</v>
      </c>
      <c r="I431" s="79" t="n">
        <f aca="false">IF(H431&gt;N(H430),$E431,0)</f>
        <v>0</v>
      </c>
      <c r="J431" s="79" t="n">
        <f aca="false">IFERROR(IF(AND($A431&lt;&gt;"",$E431&lt;&gt;"",$A431&gt;=PeriodStart,$A431&lt;=PeriodEnd),$E431+ROW()/1000000,0),0)</f>
        <v>0</v>
      </c>
    </row>
    <row r="432" customFormat="false" ht="15" hidden="false" customHeight="false" outlineLevel="0" collapsed="false">
      <c r="A432" s="75"/>
      <c r="B432" s="76"/>
      <c r="C432" s="77"/>
      <c r="D432" s="77"/>
      <c r="E432" s="78"/>
      <c r="F432" s="77"/>
      <c r="G432" s="77"/>
      <c r="H432" s="79" t="n">
        <f aca="false">N(H431)+IFERROR(IF(AND($A432&lt;&gt;"",$E432&lt;&gt;"",$A432&gt;=IF(Search!$E$4="",0,Search!$E$4),$A432&lt;=IF(Search!$E$5="",99999,Search!$E$5),OR(Search!$E$6="",ISNUMBER(SEARCH(Search!$E$6,$C432))),OR(Search!$E$7="All",Search!$E$7="",$D432=Search!$E$7),OR(Search!$E$8="",Search!$E$9="",AND($B432&lt;&gt;"",MOD($B432,1)&gt;=Search!$E$8,MOD($B432,1)&lt;=Search!$E$9))),1,0),0)</f>
        <v>0</v>
      </c>
      <c r="I432" s="79" t="n">
        <f aca="false">IF(H432&gt;N(H431),$E432,0)</f>
        <v>0</v>
      </c>
      <c r="J432" s="79" t="n">
        <f aca="false">IFERROR(IF(AND($A432&lt;&gt;"",$E432&lt;&gt;"",$A432&gt;=PeriodStart,$A432&lt;=PeriodEnd),$E432+ROW()/1000000,0),0)</f>
        <v>0</v>
      </c>
    </row>
    <row r="433" customFormat="false" ht="15" hidden="false" customHeight="false" outlineLevel="0" collapsed="false">
      <c r="A433" s="75"/>
      <c r="B433" s="76"/>
      <c r="C433" s="77"/>
      <c r="D433" s="77"/>
      <c r="E433" s="78"/>
      <c r="F433" s="77"/>
      <c r="G433" s="77"/>
      <c r="H433" s="79" t="n">
        <f aca="false">N(H432)+IFERROR(IF(AND($A433&lt;&gt;"",$E433&lt;&gt;"",$A433&gt;=IF(Search!$E$4="",0,Search!$E$4),$A433&lt;=IF(Search!$E$5="",99999,Search!$E$5),OR(Search!$E$6="",ISNUMBER(SEARCH(Search!$E$6,$C433))),OR(Search!$E$7="All",Search!$E$7="",$D433=Search!$E$7),OR(Search!$E$8="",Search!$E$9="",AND($B433&lt;&gt;"",MOD($B433,1)&gt;=Search!$E$8,MOD($B433,1)&lt;=Search!$E$9))),1,0),0)</f>
        <v>0</v>
      </c>
      <c r="I433" s="79" t="n">
        <f aca="false">IF(H433&gt;N(H432),$E433,0)</f>
        <v>0</v>
      </c>
      <c r="J433" s="79" t="n">
        <f aca="false">IFERROR(IF(AND($A433&lt;&gt;"",$E433&lt;&gt;"",$A433&gt;=PeriodStart,$A433&lt;=PeriodEnd),$E433+ROW()/1000000,0),0)</f>
        <v>0</v>
      </c>
    </row>
    <row r="434" customFormat="false" ht="15" hidden="false" customHeight="false" outlineLevel="0" collapsed="false">
      <c r="A434" s="75"/>
      <c r="B434" s="76"/>
      <c r="C434" s="77"/>
      <c r="D434" s="77"/>
      <c r="E434" s="78"/>
      <c r="F434" s="77"/>
      <c r="G434" s="77"/>
      <c r="H434" s="79" t="n">
        <f aca="false">N(H433)+IFERROR(IF(AND($A434&lt;&gt;"",$E434&lt;&gt;"",$A434&gt;=IF(Search!$E$4="",0,Search!$E$4),$A434&lt;=IF(Search!$E$5="",99999,Search!$E$5),OR(Search!$E$6="",ISNUMBER(SEARCH(Search!$E$6,$C434))),OR(Search!$E$7="All",Search!$E$7="",$D434=Search!$E$7),OR(Search!$E$8="",Search!$E$9="",AND($B434&lt;&gt;"",MOD($B434,1)&gt;=Search!$E$8,MOD($B434,1)&lt;=Search!$E$9))),1,0),0)</f>
        <v>0</v>
      </c>
      <c r="I434" s="79" t="n">
        <f aca="false">IF(H434&gt;N(H433),$E434,0)</f>
        <v>0</v>
      </c>
      <c r="J434" s="79" t="n">
        <f aca="false">IFERROR(IF(AND($A434&lt;&gt;"",$E434&lt;&gt;"",$A434&gt;=PeriodStart,$A434&lt;=PeriodEnd),$E434+ROW()/1000000,0),0)</f>
        <v>0</v>
      </c>
    </row>
    <row r="435" customFormat="false" ht="15" hidden="false" customHeight="false" outlineLevel="0" collapsed="false">
      <c r="A435" s="75"/>
      <c r="B435" s="76"/>
      <c r="C435" s="77"/>
      <c r="D435" s="77"/>
      <c r="E435" s="78"/>
      <c r="F435" s="77"/>
      <c r="G435" s="77"/>
      <c r="H435" s="79" t="n">
        <f aca="false">N(H434)+IFERROR(IF(AND($A435&lt;&gt;"",$E435&lt;&gt;"",$A435&gt;=IF(Search!$E$4="",0,Search!$E$4),$A435&lt;=IF(Search!$E$5="",99999,Search!$E$5),OR(Search!$E$6="",ISNUMBER(SEARCH(Search!$E$6,$C435))),OR(Search!$E$7="All",Search!$E$7="",$D435=Search!$E$7),OR(Search!$E$8="",Search!$E$9="",AND($B435&lt;&gt;"",MOD($B435,1)&gt;=Search!$E$8,MOD($B435,1)&lt;=Search!$E$9))),1,0),0)</f>
        <v>0</v>
      </c>
      <c r="I435" s="79" t="n">
        <f aca="false">IF(H435&gt;N(H434),$E435,0)</f>
        <v>0</v>
      </c>
      <c r="J435" s="79" t="n">
        <f aca="false">IFERROR(IF(AND($A435&lt;&gt;"",$E435&lt;&gt;"",$A435&gt;=PeriodStart,$A435&lt;=PeriodEnd),$E435+ROW()/1000000,0),0)</f>
        <v>0</v>
      </c>
    </row>
    <row r="436" customFormat="false" ht="15" hidden="false" customHeight="false" outlineLevel="0" collapsed="false">
      <c r="A436" s="75"/>
      <c r="B436" s="76"/>
      <c r="C436" s="77"/>
      <c r="D436" s="77"/>
      <c r="E436" s="78"/>
      <c r="F436" s="77"/>
      <c r="G436" s="77"/>
      <c r="H436" s="79" t="n">
        <f aca="false">N(H435)+IFERROR(IF(AND($A436&lt;&gt;"",$E436&lt;&gt;"",$A436&gt;=IF(Search!$E$4="",0,Search!$E$4),$A436&lt;=IF(Search!$E$5="",99999,Search!$E$5),OR(Search!$E$6="",ISNUMBER(SEARCH(Search!$E$6,$C436))),OR(Search!$E$7="All",Search!$E$7="",$D436=Search!$E$7),OR(Search!$E$8="",Search!$E$9="",AND($B436&lt;&gt;"",MOD($B436,1)&gt;=Search!$E$8,MOD($B436,1)&lt;=Search!$E$9))),1,0),0)</f>
        <v>0</v>
      </c>
      <c r="I436" s="79" t="n">
        <f aca="false">IF(H436&gt;N(H435),$E436,0)</f>
        <v>0</v>
      </c>
      <c r="J436" s="79" t="n">
        <f aca="false">IFERROR(IF(AND($A436&lt;&gt;"",$E436&lt;&gt;"",$A436&gt;=PeriodStart,$A436&lt;=PeriodEnd),$E436+ROW()/1000000,0),0)</f>
        <v>0</v>
      </c>
    </row>
    <row r="437" customFormat="false" ht="15" hidden="false" customHeight="false" outlineLevel="0" collapsed="false">
      <c r="A437" s="75"/>
      <c r="B437" s="76"/>
      <c r="C437" s="77"/>
      <c r="D437" s="77"/>
      <c r="E437" s="78"/>
      <c r="F437" s="77"/>
      <c r="G437" s="77"/>
      <c r="H437" s="79" t="n">
        <f aca="false">N(H436)+IFERROR(IF(AND($A437&lt;&gt;"",$E437&lt;&gt;"",$A437&gt;=IF(Search!$E$4="",0,Search!$E$4),$A437&lt;=IF(Search!$E$5="",99999,Search!$E$5),OR(Search!$E$6="",ISNUMBER(SEARCH(Search!$E$6,$C437))),OR(Search!$E$7="All",Search!$E$7="",$D437=Search!$E$7),OR(Search!$E$8="",Search!$E$9="",AND($B437&lt;&gt;"",MOD($B437,1)&gt;=Search!$E$8,MOD($B437,1)&lt;=Search!$E$9))),1,0),0)</f>
        <v>0</v>
      </c>
      <c r="I437" s="79" t="n">
        <f aca="false">IF(H437&gt;N(H436),$E437,0)</f>
        <v>0</v>
      </c>
      <c r="J437" s="79" t="n">
        <f aca="false">IFERROR(IF(AND($A437&lt;&gt;"",$E437&lt;&gt;"",$A437&gt;=PeriodStart,$A437&lt;=PeriodEnd),$E437+ROW()/1000000,0),0)</f>
        <v>0</v>
      </c>
    </row>
    <row r="438" customFormat="false" ht="15" hidden="false" customHeight="false" outlineLevel="0" collapsed="false">
      <c r="A438" s="75"/>
      <c r="B438" s="76"/>
      <c r="C438" s="77"/>
      <c r="D438" s="77"/>
      <c r="E438" s="78"/>
      <c r="F438" s="77"/>
      <c r="G438" s="77"/>
      <c r="H438" s="79" t="n">
        <f aca="false">N(H437)+IFERROR(IF(AND($A438&lt;&gt;"",$E438&lt;&gt;"",$A438&gt;=IF(Search!$E$4="",0,Search!$E$4),$A438&lt;=IF(Search!$E$5="",99999,Search!$E$5),OR(Search!$E$6="",ISNUMBER(SEARCH(Search!$E$6,$C438))),OR(Search!$E$7="All",Search!$E$7="",$D438=Search!$E$7),OR(Search!$E$8="",Search!$E$9="",AND($B438&lt;&gt;"",MOD($B438,1)&gt;=Search!$E$8,MOD($B438,1)&lt;=Search!$E$9))),1,0),0)</f>
        <v>0</v>
      </c>
      <c r="I438" s="79" t="n">
        <f aca="false">IF(H438&gt;N(H437),$E438,0)</f>
        <v>0</v>
      </c>
      <c r="J438" s="79" t="n">
        <f aca="false">IFERROR(IF(AND($A438&lt;&gt;"",$E438&lt;&gt;"",$A438&gt;=PeriodStart,$A438&lt;=PeriodEnd),$E438+ROW()/1000000,0),0)</f>
        <v>0</v>
      </c>
    </row>
    <row r="439" customFormat="false" ht="15" hidden="false" customHeight="false" outlineLevel="0" collapsed="false">
      <c r="A439" s="75"/>
      <c r="B439" s="76"/>
      <c r="C439" s="77"/>
      <c r="D439" s="77"/>
      <c r="E439" s="78"/>
      <c r="F439" s="77"/>
      <c r="G439" s="77"/>
      <c r="H439" s="79" t="n">
        <f aca="false">N(H438)+IFERROR(IF(AND($A439&lt;&gt;"",$E439&lt;&gt;"",$A439&gt;=IF(Search!$E$4="",0,Search!$E$4),$A439&lt;=IF(Search!$E$5="",99999,Search!$E$5),OR(Search!$E$6="",ISNUMBER(SEARCH(Search!$E$6,$C439))),OR(Search!$E$7="All",Search!$E$7="",$D439=Search!$E$7),OR(Search!$E$8="",Search!$E$9="",AND($B439&lt;&gt;"",MOD($B439,1)&gt;=Search!$E$8,MOD($B439,1)&lt;=Search!$E$9))),1,0),0)</f>
        <v>0</v>
      </c>
      <c r="I439" s="79" t="n">
        <f aca="false">IF(H439&gt;N(H438),$E439,0)</f>
        <v>0</v>
      </c>
      <c r="J439" s="79" t="n">
        <f aca="false">IFERROR(IF(AND($A439&lt;&gt;"",$E439&lt;&gt;"",$A439&gt;=PeriodStart,$A439&lt;=PeriodEnd),$E439+ROW()/1000000,0),0)</f>
        <v>0</v>
      </c>
    </row>
    <row r="440" customFormat="false" ht="15" hidden="false" customHeight="false" outlineLevel="0" collapsed="false">
      <c r="A440" s="75"/>
      <c r="B440" s="76"/>
      <c r="C440" s="77"/>
      <c r="D440" s="77"/>
      <c r="E440" s="78"/>
      <c r="F440" s="77"/>
      <c r="G440" s="77"/>
      <c r="H440" s="79" t="n">
        <f aca="false">N(H439)+IFERROR(IF(AND($A440&lt;&gt;"",$E440&lt;&gt;"",$A440&gt;=IF(Search!$E$4="",0,Search!$E$4),$A440&lt;=IF(Search!$E$5="",99999,Search!$E$5),OR(Search!$E$6="",ISNUMBER(SEARCH(Search!$E$6,$C440))),OR(Search!$E$7="All",Search!$E$7="",$D440=Search!$E$7),OR(Search!$E$8="",Search!$E$9="",AND($B440&lt;&gt;"",MOD($B440,1)&gt;=Search!$E$8,MOD($B440,1)&lt;=Search!$E$9))),1,0),0)</f>
        <v>0</v>
      </c>
      <c r="I440" s="79" t="n">
        <f aca="false">IF(H440&gt;N(H439),$E440,0)</f>
        <v>0</v>
      </c>
      <c r="J440" s="79" t="n">
        <f aca="false">IFERROR(IF(AND($A440&lt;&gt;"",$E440&lt;&gt;"",$A440&gt;=PeriodStart,$A440&lt;=PeriodEnd),$E440+ROW()/1000000,0),0)</f>
        <v>0</v>
      </c>
    </row>
    <row r="441" customFormat="false" ht="15" hidden="false" customHeight="false" outlineLevel="0" collapsed="false">
      <c r="A441" s="75"/>
      <c r="B441" s="76"/>
      <c r="C441" s="77"/>
      <c r="D441" s="77"/>
      <c r="E441" s="78"/>
      <c r="F441" s="77"/>
      <c r="G441" s="77"/>
      <c r="H441" s="79" t="n">
        <f aca="false">N(H440)+IFERROR(IF(AND($A441&lt;&gt;"",$E441&lt;&gt;"",$A441&gt;=IF(Search!$E$4="",0,Search!$E$4),$A441&lt;=IF(Search!$E$5="",99999,Search!$E$5),OR(Search!$E$6="",ISNUMBER(SEARCH(Search!$E$6,$C441))),OR(Search!$E$7="All",Search!$E$7="",$D441=Search!$E$7),OR(Search!$E$8="",Search!$E$9="",AND($B441&lt;&gt;"",MOD($B441,1)&gt;=Search!$E$8,MOD($B441,1)&lt;=Search!$E$9))),1,0),0)</f>
        <v>0</v>
      </c>
      <c r="I441" s="79" t="n">
        <f aca="false">IF(H441&gt;N(H440),$E441,0)</f>
        <v>0</v>
      </c>
      <c r="J441" s="79" t="n">
        <f aca="false">IFERROR(IF(AND($A441&lt;&gt;"",$E441&lt;&gt;"",$A441&gt;=PeriodStart,$A441&lt;=PeriodEnd),$E441+ROW()/1000000,0),0)</f>
        <v>0</v>
      </c>
    </row>
    <row r="442" customFormat="false" ht="15" hidden="false" customHeight="false" outlineLevel="0" collapsed="false">
      <c r="A442" s="75"/>
      <c r="B442" s="76"/>
      <c r="C442" s="77"/>
      <c r="D442" s="77"/>
      <c r="E442" s="78"/>
      <c r="F442" s="77"/>
      <c r="G442" s="77"/>
      <c r="H442" s="79" t="n">
        <f aca="false">N(H441)+IFERROR(IF(AND($A442&lt;&gt;"",$E442&lt;&gt;"",$A442&gt;=IF(Search!$E$4="",0,Search!$E$4),$A442&lt;=IF(Search!$E$5="",99999,Search!$E$5),OR(Search!$E$6="",ISNUMBER(SEARCH(Search!$E$6,$C442))),OR(Search!$E$7="All",Search!$E$7="",$D442=Search!$E$7),OR(Search!$E$8="",Search!$E$9="",AND($B442&lt;&gt;"",MOD($B442,1)&gt;=Search!$E$8,MOD($B442,1)&lt;=Search!$E$9))),1,0),0)</f>
        <v>0</v>
      </c>
      <c r="I442" s="79" t="n">
        <f aca="false">IF(H442&gt;N(H441),$E442,0)</f>
        <v>0</v>
      </c>
      <c r="J442" s="79" t="n">
        <f aca="false">IFERROR(IF(AND($A442&lt;&gt;"",$E442&lt;&gt;"",$A442&gt;=PeriodStart,$A442&lt;=PeriodEnd),$E442+ROW()/1000000,0),0)</f>
        <v>0</v>
      </c>
    </row>
    <row r="443" customFormat="false" ht="15" hidden="false" customHeight="false" outlineLevel="0" collapsed="false">
      <c r="A443" s="75"/>
      <c r="B443" s="76"/>
      <c r="C443" s="77"/>
      <c r="D443" s="77"/>
      <c r="E443" s="78"/>
      <c r="F443" s="77"/>
      <c r="G443" s="77"/>
      <c r="H443" s="79" t="n">
        <f aca="false">N(H442)+IFERROR(IF(AND($A443&lt;&gt;"",$E443&lt;&gt;"",$A443&gt;=IF(Search!$E$4="",0,Search!$E$4),$A443&lt;=IF(Search!$E$5="",99999,Search!$E$5),OR(Search!$E$6="",ISNUMBER(SEARCH(Search!$E$6,$C443))),OR(Search!$E$7="All",Search!$E$7="",$D443=Search!$E$7),OR(Search!$E$8="",Search!$E$9="",AND($B443&lt;&gt;"",MOD($B443,1)&gt;=Search!$E$8,MOD($B443,1)&lt;=Search!$E$9))),1,0),0)</f>
        <v>0</v>
      </c>
      <c r="I443" s="79" t="n">
        <f aca="false">IF(H443&gt;N(H442),$E443,0)</f>
        <v>0</v>
      </c>
      <c r="J443" s="79" t="n">
        <f aca="false">IFERROR(IF(AND($A443&lt;&gt;"",$E443&lt;&gt;"",$A443&gt;=PeriodStart,$A443&lt;=PeriodEnd),$E443+ROW()/1000000,0),0)</f>
        <v>0</v>
      </c>
    </row>
    <row r="444" customFormat="false" ht="15" hidden="false" customHeight="false" outlineLevel="0" collapsed="false">
      <c r="A444" s="75"/>
      <c r="B444" s="76"/>
      <c r="C444" s="77"/>
      <c r="D444" s="77"/>
      <c r="E444" s="78"/>
      <c r="F444" s="77"/>
      <c r="G444" s="77"/>
      <c r="H444" s="79" t="n">
        <f aca="false">N(H443)+IFERROR(IF(AND($A444&lt;&gt;"",$E444&lt;&gt;"",$A444&gt;=IF(Search!$E$4="",0,Search!$E$4),$A444&lt;=IF(Search!$E$5="",99999,Search!$E$5),OR(Search!$E$6="",ISNUMBER(SEARCH(Search!$E$6,$C444))),OR(Search!$E$7="All",Search!$E$7="",$D444=Search!$E$7),OR(Search!$E$8="",Search!$E$9="",AND($B444&lt;&gt;"",MOD($B444,1)&gt;=Search!$E$8,MOD($B444,1)&lt;=Search!$E$9))),1,0),0)</f>
        <v>0</v>
      </c>
      <c r="I444" s="79" t="n">
        <f aca="false">IF(H444&gt;N(H443),$E444,0)</f>
        <v>0</v>
      </c>
      <c r="J444" s="79" t="n">
        <f aca="false">IFERROR(IF(AND($A444&lt;&gt;"",$E444&lt;&gt;"",$A444&gt;=PeriodStart,$A444&lt;=PeriodEnd),$E444+ROW()/1000000,0),0)</f>
        <v>0</v>
      </c>
    </row>
    <row r="445" customFormat="false" ht="15" hidden="false" customHeight="false" outlineLevel="0" collapsed="false">
      <c r="A445" s="75"/>
      <c r="B445" s="76"/>
      <c r="C445" s="77"/>
      <c r="D445" s="77"/>
      <c r="E445" s="78"/>
      <c r="F445" s="77"/>
      <c r="G445" s="77"/>
      <c r="H445" s="79" t="n">
        <f aca="false">N(H444)+IFERROR(IF(AND($A445&lt;&gt;"",$E445&lt;&gt;"",$A445&gt;=IF(Search!$E$4="",0,Search!$E$4),$A445&lt;=IF(Search!$E$5="",99999,Search!$E$5),OR(Search!$E$6="",ISNUMBER(SEARCH(Search!$E$6,$C445))),OR(Search!$E$7="All",Search!$E$7="",$D445=Search!$E$7),OR(Search!$E$8="",Search!$E$9="",AND($B445&lt;&gt;"",MOD($B445,1)&gt;=Search!$E$8,MOD($B445,1)&lt;=Search!$E$9))),1,0),0)</f>
        <v>0</v>
      </c>
      <c r="I445" s="79" t="n">
        <f aca="false">IF(H445&gt;N(H444),$E445,0)</f>
        <v>0</v>
      </c>
      <c r="J445" s="79" t="n">
        <f aca="false">IFERROR(IF(AND($A445&lt;&gt;"",$E445&lt;&gt;"",$A445&gt;=PeriodStart,$A445&lt;=PeriodEnd),$E445+ROW()/1000000,0),0)</f>
        <v>0</v>
      </c>
    </row>
    <row r="446" customFormat="false" ht="15" hidden="false" customHeight="false" outlineLevel="0" collapsed="false">
      <c r="A446" s="75"/>
      <c r="B446" s="76"/>
      <c r="C446" s="77"/>
      <c r="D446" s="77"/>
      <c r="E446" s="78"/>
      <c r="F446" s="77"/>
      <c r="G446" s="77"/>
      <c r="H446" s="79" t="n">
        <f aca="false">N(H445)+IFERROR(IF(AND($A446&lt;&gt;"",$E446&lt;&gt;"",$A446&gt;=IF(Search!$E$4="",0,Search!$E$4),$A446&lt;=IF(Search!$E$5="",99999,Search!$E$5),OR(Search!$E$6="",ISNUMBER(SEARCH(Search!$E$6,$C446))),OR(Search!$E$7="All",Search!$E$7="",$D446=Search!$E$7),OR(Search!$E$8="",Search!$E$9="",AND($B446&lt;&gt;"",MOD($B446,1)&gt;=Search!$E$8,MOD($B446,1)&lt;=Search!$E$9))),1,0),0)</f>
        <v>0</v>
      </c>
      <c r="I446" s="79" t="n">
        <f aca="false">IF(H446&gt;N(H445),$E446,0)</f>
        <v>0</v>
      </c>
      <c r="J446" s="79" t="n">
        <f aca="false">IFERROR(IF(AND($A446&lt;&gt;"",$E446&lt;&gt;"",$A446&gt;=PeriodStart,$A446&lt;=PeriodEnd),$E446+ROW()/1000000,0),0)</f>
        <v>0</v>
      </c>
    </row>
    <row r="447" customFormat="false" ht="15" hidden="false" customHeight="false" outlineLevel="0" collapsed="false">
      <c r="A447" s="75"/>
      <c r="B447" s="76"/>
      <c r="C447" s="77"/>
      <c r="D447" s="77"/>
      <c r="E447" s="78"/>
      <c r="F447" s="77"/>
      <c r="G447" s="77"/>
      <c r="H447" s="79" t="n">
        <f aca="false">N(H446)+IFERROR(IF(AND($A447&lt;&gt;"",$E447&lt;&gt;"",$A447&gt;=IF(Search!$E$4="",0,Search!$E$4),$A447&lt;=IF(Search!$E$5="",99999,Search!$E$5),OR(Search!$E$6="",ISNUMBER(SEARCH(Search!$E$6,$C447))),OR(Search!$E$7="All",Search!$E$7="",$D447=Search!$E$7),OR(Search!$E$8="",Search!$E$9="",AND($B447&lt;&gt;"",MOD($B447,1)&gt;=Search!$E$8,MOD($B447,1)&lt;=Search!$E$9))),1,0),0)</f>
        <v>0</v>
      </c>
      <c r="I447" s="79" t="n">
        <f aca="false">IF(H447&gt;N(H446),$E447,0)</f>
        <v>0</v>
      </c>
      <c r="J447" s="79" t="n">
        <f aca="false">IFERROR(IF(AND($A447&lt;&gt;"",$E447&lt;&gt;"",$A447&gt;=PeriodStart,$A447&lt;=PeriodEnd),$E447+ROW()/1000000,0),0)</f>
        <v>0</v>
      </c>
    </row>
    <row r="448" customFormat="false" ht="15" hidden="false" customHeight="false" outlineLevel="0" collapsed="false">
      <c r="A448" s="75"/>
      <c r="B448" s="76"/>
      <c r="C448" s="77"/>
      <c r="D448" s="77"/>
      <c r="E448" s="78"/>
      <c r="F448" s="77"/>
      <c r="G448" s="77"/>
      <c r="H448" s="79" t="n">
        <f aca="false">N(H447)+IFERROR(IF(AND($A448&lt;&gt;"",$E448&lt;&gt;"",$A448&gt;=IF(Search!$E$4="",0,Search!$E$4),$A448&lt;=IF(Search!$E$5="",99999,Search!$E$5),OR(Search!$E$6="",ISNUMBER(SEARCH(Search!$E$6,$C448))),OR(Search!$E$7="All",Search!$E$7="",$D448=Search!$E$7),OR(Search!$E$8="",Search!$E$9="",AND($B448&lt;&gt;"",MOD($B448,1)&gt;=Search!$E$8,MOD($B448,1)&lt;=Search!$E$9))),1,0),0)</f>
        <v>0</v>
      </c>
      <c r="I448" s="79" t="n">
        <f aca="false">IF(H448&gt;N(H447),$E448,0)</f>
        <v>0</v>
      </c>
      <c r="J448" s="79" t="n">
        <f aca="false">IFERROR(IF(AND($A448&lt;&gt;"",$E448&lt;&gt;"",$A448&gt;=PeriodStart,$A448&lt;=PeriodEnd),$E448+ROW()/1000000,0),0)</f>
        <v>0</v>
      </c>
    </row>
    <row r="449" customFormat="false" ht="15" hidden="false" customHeight="false" outlineLevel="0" collapsed="false">
      <c r="A449" s="75"/>
      <c r="B449" s="76"/>
      <c r="C449" s="77"/>
      <c r="D449" s="77"/>
      <c r="E449" s="78"/>
      <c r="F449" s="77"/>
      <c r="G449" s="77"/>
      <c r="H449" s="79" t="n">
        <f aca="false">N(H448)+IFERROR(IF(AND($A449&lt;&gt;"",$E449&lt;&gt;"",$A449&gt;=IF(Search!$E$4="",0,Search!$E$4),$A449&lt;=IF(Search!$E$5="",99999,Search!$E$5),OR(Search!$E$6="",ISNUMBER(SEARCH(Search!$E$6,$C449))),OR(Search!$E$7="All",Search!$E$7="",$D449=Search!$E$7),OR(Search!$E$8="",Search!$E$9="",AND($B449&lt;&gt;"",MOD($B449,1)&gt;=Search!$E$8,MOD($B449,1)&lt;=Search!$E$9))),1,0),0)</f>
        <v>0</v>
      </c>
      <c r="I449" s="79" t="n">
        <f aca="false">IF(H449&gt;N(H448),$E449,0)</f>
        <v>0</v>
      </c>
      <c r="J449" s="79" t="n">
        <f aca="false">IFERROR(IF(AND($A449&lt;&gt;"",$E449&lt;&gt;"",$A449&gt;=PeriodStart,$A449&lt;=PeriodEnd),$E449+ROW()/1000000,0),0)</f>
        <v>0</v>
      </c>
    </row>
    <row r="450" customFormat="false" ht="15" hidden="false" customHeight="false" outlineLevel="0" collapsed="false">
      <c r="A450" s="75"/>
      <c r="B450" s="76"/>
      <c r="C450" s="77"/>
      <c r="D450" s="77"/>
      <c r="E450" s="78"/>
      <c r="F450" s="77"/>
      <c r="G450" s="77"/>
      <c r="H450" s="79" t="n">
        <f aca="false">N(H449)+IFERROR(IF(AND($A450&lt;&gt;"",$E450&lt;&gt;"",$A450&gt;=IF(Search!$E$4="",0,Search!$E$4),$A450&lt;=IF(Search!$E$5="",99999,Search!$E$5),OR(Search!$E$6="",ISNUMBER(SEARCH(Search!$E$6,$C450))),OR(Search!$E$7="All",Search!$E$7="",$D450=Search!$E$7),OR(Search!$E$8="",Search!$E$9="",AND($B450&lt;&gt;"",MOD($B450,1)&gt;=Search!$E$8,MOD($B450,1)&lt;=Search!$E$9))),1,0),0)</f>
        <v>0</v>
      </c>
      <c r="I450" s="79" t="n">
        <f aca="false">IF(H450&gt;N(H449),$E450,0)</f>
        <v>0</v>
      </c>
      <c r="J450" s="79" t="n">
        <f aca="false">IFERROR(IF(AND($A450&lt;&gt;"",$E450&lt;&gt;"",$A450&gt;=PeriodStart,$A450&lt;=PeriodEnd),$E450+ROW()/1000000,0),0)</f>
        <v>0</v>
      </c>
    </row>
    <row r="451" customFormat="false" ht="15" hidden="false" customHeight="false" outlineLevel="0" collapsed="false">
      <c r="A451" s="75"/>
      <c r="B451" s="76"/>
      <c r="C451" s="77"/>
      <c r="D451" s="77"/>
      <c r="E451" s="78"/>
      <c r="F451" s="77"/>
      <c r="G451" s="77"/>
      <c r="H451" s="79" t="n">
        <f aca="false">N(H450)+IFERROR(IF(AND($A451&lt;&gt;"",$E451&lt;&gt;"",$A451&gt;=IF(Search!$E$4="",0,Search!$E$4),$A451&lt;=IF(Search!$E$5="",99999,Search!$E$5),OR(Search!$E$6="",ISNUMBER(SEARCH(Search!$E$6,$C451))),OR(Search!$E$7="All",Search!$E$7="",$D451=Search!$E$7),OR(Search!$E$8="",Search!$E$9="",AND($B451&lt;&gt;"",MOD($B451,1)&gt;=Search!$E$8,MOD($B451,1)&lt;=Search!$E$9))),1,0),0)</f>
        <v>0</v>
      </c>
      <c r="I451" s="79" t="n">
        <f aca="false">IF(H451&gt;N(H450),$E451,0)</f>
        <v>0</v>
      </c>
      <c r="J451" s="79" t="n">
        <f aca="false">IFERROR(IF(AND($A451&lt;&gt;"",$E451&lt;&gt;"",$A451&gt;=PeriodStart,$A451&lt;=PeriodEnd),$E451+ROW()/1000000,0),0)</f>
        <v>0</v>
      </c>
    </row>
    <row r="452" customFormat="false" ht="15" hidden="false" customHeight="false" outlineLevel="0" collapsed="false">
      <c r="A452" s="75"/>
      <c r="B452" s="76"/>
      <c r="C452" s="77"/>
      <c r="D452" s="77"/>
      <c r="E452" s="78"/>
      <c r="F452" s="77"/>
      <c r="G452" s="77"/>
      <c r="H452" s="79" t="n">
        <f aca="false">N(H451)+IFERROR(IF(AND($A452&lt;&gt;"",$E452&lt;&gt;"",$A452&gt;=IF(Search!$E$4="",0,Search!$E$4),$A452&lt;=IF(Search!$E$5="",99999,Search!$E$5),OR(Search!$E$6="",ISNUMBER(SEARCH(Search!$E$6,$C452))),OR(Search!$E$7="All",Search!$E$7="",$D452=Search!$E$7),OR(Search!$E$8="",Search!$E$9="",AND($B452&lt;&gt;"",MOD($B452,1)&gt;=Search!$E$8,MOD($B452,1)&lt;=Search!$E$9))),1,0),0)</f>
        <v>0</v>
      </c>
      <c r="I452" s="79" t="n">
        <f aca="false">IF(H452&gt;N(H451),$E452,0)</f>
        <v>0</v>
      </c>
      <c r="J452" s="79" t="n">
        <f aca="false">IFERROR(IF(AND($A452&lt;&gt;"",$E452&lt;&gt;"",$A452&gt;=PeriodStart,$A452&lt;=PeriodEnd),$E452+ROW()/1000000,0),0)</f>
        <v>0</v>
      </c>
    </row>
    <row r="453" customFormat="false" ht="15" hidden="false" customHeight="false" outlineLevel="0" collapsed="false">
      <c r="A453" s="75"/>
      <c r="B453" s="76"/>
      <c r="C453" s="77"/>
      <c r="D453" s="77"/>
      <c r="E453" s="78"/>
      <c r="F453" s="77"/>
      <c r="G453" s="77"/>
      <c r="H453" s="79" t="n">
        <f aca="false">N(H452)+IFERROR(IF(AND($A453&lt;&gt;"",$E453&lt;&gt;"",$A453&gt;=IF(Search!$E$4="",0,Search!$E$4),$A453&lt;=IF(Search!$E$5="",99999,Search!$E$5),OR(Search!$E$6="",ISNUMBER(SEARCH(Search!$E$6,$C453))),OR(Search!$E$7="All",Search!$E$7="",$D453=Search!$E$7),OR(Search!$E$8="",Search!$E$9="",AND($B453&lt;&gt;"",MOD($B453,1)&gt;=Search!$E$8,MOD($B453,1)&lt;=Search!$E$9))),1,0),0)</f>
        <v>0</v>
      </c>
      <c r="I453" s="79" t="n">
        <f aca="false">IF(H453&gt;N(H452),$E453,0)</f>
        <v>0</v>
      </c>
      <c r="J453" s="79" t="n">
        <f aca="false">IFERROR(IF(AND($A453&lt;&gt;"",$E453&lt;&gt;"",$A453&gt;=PeriodStart,$A453&lt;=PeriodEnd),$E453+ROW()/1000000,0),0)</f>
        <v>0</v>
      </c>
    </row>
    <row r="454" customFormat="false" ht="15" hidden="false" customHeight="false" outlineLevel="0" collapsed="false">
      <c r="A454" s="75"/>
      <c r="B454" s="76"/>
      <c r="C454" s="77"/>
      <c r="D454" s="77"/>
      <c r="E454" s="78"/>
      <c r="F454" s="77"/>
      <c r="G454" s="77"/>
      <c r="H454" s="79" t="n">
        <f aca="false">N(H453)+IFERROR(IF(AND($A454&lt;&gt;"",$E454&lt;&gt;"",$A454&gt;=IF(Search!$E$4="",0,Search!$E$4),$A454&lt;=IF(Search!$E$5="",99999,Search!$E$5),OR(Search!$E$6="",ISNUMBER(SEARCH(Search!$E$6,$C454))),OR(Search!$E$7="All",Search!$E$7="",$D454=Search!$E$7),OR(Search!$E$8="",Search!$E$9="",AND($B454&lt;&gt;"",MOD($B454,1)&gt;=Search!$E$8,MOD($B454,1)&lt;=Search!$E$9))),1,0),0)</f>
        <v>0</v>
      </c>
      <c r="I454" s="79" t="n">
        <f aca="false">IF(H454&gt;N(H453),$E454,0)</f>
        <v>0</v>
      </c>
      <c r="J454" s="79" t="n">
        <f aca="false">IFERROR(IF(AND($A454&lt;&gt;"",$E454&lt;&gt;"",$A454&gt;=PeriodStart,$A454&lt;=PeriodEnd),$E454+ROW()/1000000,0),0)</f>
        <v>0</v>
      </c>
    </row>
    <row r="455" customFormat="false" ht="15" hidden="false" customHeight="false" outlineLevel="0" collapsed="false">
      <c r="A455" s="75"/>
      <c r="B455" s="76"/>
      <c r="C455" s="77"/>
      <c r="D455" s="77"/>
      <c r="E455" s="78"/>
      <c r="F455" s="77"/>
      <c r="G455" s="77"/>
      <c r="H455" s="79" t="n">
        <f aca="false">N(H454)+IFERROR(IF(AND($A455&lt;&gt;"",$E455&lt;&gt;"",$A455&gt;=IF(Search!$E$4="",0,Search!$E$4),$A455&lt;=IF(Search!$E$5="",99999,Search!$E$5),OR(Search!$E$6="",ISNUMBER(SEARCH(Search!$E$6,$C455))),OR(Search!$E$7="All",Search!$E$7="",$D455=Search!$E$7),OR(Search!$E$8="",Search!$E$9="",AND($B455&lt;&gt;"",MOD($B455,1)&gt;=Search!$E$8,MOD($B455,1)&lt;=Search!$E$9))),1,0),0)</f>
        <v>0</v>
      </c>
      <c r="I455" s="79" t="n">
        <f aca="false">IF(H455&gt;N(H454),$E455,0)</f>
        <v>0</v>
      </c>
      <c r="J455" s="79" t="n">
        <f aca="false">IFERROR(IF(AND($A455&lt;&gt;"",$E455&lt;&gt;"",$A455&gt;=PeriodStart,$A455&lt;=PeriodEnd),$E455+ROW()/1000000,0),0)</f>
        <v>0</v>
      </c>
    </row>
    <row r="456" customFormat="false" ht="15" hidden="false" customHeight="false" outlineLevel="0" collapsed="false">
      <c r="A456" s="75"/>
      <c r="B456" s="76"/>
      <c r="C456" s="77"/>
      <c r="D456" s="77"/>
      <c r="E456" s="78"/>
      <c r="F456" s="77"/>
      <c r="G456" s="77"/>
      <c r="H456" s="79" t="n">
        <f aca="false">N(H455)+IFERROR(IF(AND($A456&lt;&gt;"",$E456&lt;&gt;"",$A456&gt;=IF(Search!$E$4="",0,Search!$E$4),$A456&lt;=IF(Search!$E$5="",99999,Search!$E$5),OR(Search!$E$6="",ISNUMBER(SEARCH(Search!$E$6,$C456))),OR(Search!$E$7="All",Search!$E$7="",$D456=Search!$E$7),OR(Search!$E$8="",Search!$E$9="",AND($B456&lt;&gt;"",MOD($B456,1)&gt;=Search!$E$8,MOD($B456,1)&lt;=Search!$E$9))),1,0),0)</f>
        <v>0</v>
      </c>
      <c r="I456" s="79" t="n">
        <f aca="false">IF(H456&gt;N(H455),$E456,0)</f>
        <v>0</v>
      </c>
      <c r="J456" s="79" t="n">
        <f aca="false">IFERROR(IF(AND($A456&lt;&gt;"",$E456&lt;&gt;"",$A456&gt;=PeriodStart,$A456&lt;=PeriodEnd),$E456+ROW()/1000000,0),0)</f>
        <v>0</v>
      </c>
    </row>
    <row r="457" customFormat="false" ht="15" hidden="false" customHeight="false" outlineLevel="0" collapsed="false">
      <c r="A457" s="75"/>
      <c r="B457" s="76"/>
      <c r="C457" s="77"/>
      <c r="D457" s="77"/>
      <c r="E457" s="78"/>
      <c r="F457" s="77"/>
      <c r="G457" s="77"/>
      <c r="H457" s="79" t="n">
        <f aca="false">N(H456)+IFERROR(IF(AND($A457&lt;&gt;"",$E457&lt;&gt;"",$A457&gt;=IF(Search!$E$4="",0,Search!$E$4),$A457&lt;=IF(Search!$E$5="",99999,Search!$E$5),OR(Search!$E$6="",ISNUMBER(SEARCH(Search!$E$6,$C457))),OR(Search!$E$7="All",Search!$E$7="",$D457=Search!$E$7),OR(Search!$E$8="",Search!$E$9="",AND($B457&lt;&gt;"",MOD($B457,1)&gt;=Search!$E$8,MOD($B457,1)&lt;=Search!$E$9))),1,0),0)</f>
        <v>0</v>
      </c>
      <c r="I457" s="79" t="n">
        <f aca="false">IF(H457&gt;N(H456),$E457,0)</f>
        <v>0</v>
      </c>
      <c r="J457" s="79" t="n">
        <f aca="false">IFERROR(IF(AND($A457&lt;&gt;"",$E457&lt;&gt;"",$A457&gt;=PeriodStart,$A457&lt;=PeriodEnd),$E457+ROW()/1000000,0),0)</f>
        <v>0</v>
      </c>
    </row>
    <row r="458" customFormat="false" ht="15" hidden="false" customHeight="false" outlineLevel="0" collapsed="false">
      <c r="A458" s="75"/>
      <c r="B458" s="76"/>
      <c r="C458" s="77"/>
      <c r="D458" s="77"/>
      <c r="E458" s="78"/>
      <c r="F458" s="77"/>
      <c r="G458" s="77"/>
      <c r="H458" s="79" t="n">
        <f aca="false">N(H457)+IFERROR(IF(AND($A458&lt;&gt;"",$E458&lt;&gt;"",$A458&gt;=IF(Search!$E$4="",0,Search!$E$4),$A458&lt;=IF(Search!$E$5="",99999,Search!$E$5),OR(Search!$E$6="",ISNUMBER(SEARCH(Search!$E$6,$C458))),OR(Search!$E$7="All",Search!$E$7="",$D458=Search!$E$7),OR(Search!$E$8="",Search!$E$9="",AND($B458&lt;&gt;"",MOD($B458,1)&gt;=Search!$E$8,MOD($B458,1)&lt;=Search!$E$9))),1,0),0)</f>
        <v>0</v>
      </c>
      <c r="I458" s="79" t="n">
        <f aca="false">IF(H458&gt;N(H457),$E458,0)</f>
        <v>0</v>
      </c>
      <c r="J458" s="79" t="n">
        <f aca="false">IFERROR(IF(AND($A458&lt;&gt;"",$E458&lt;&gt;"",$A458&gt;=PeriodStart,$A458&lt;=PeriodEnd),$E458+ROW()/1000000,0),0)</f>
        <v>0</v>
      </c>
    </row>
    <row r="459" customFormat="false" ht="15" hidden="false" customHeight="false" outlineLevel="0" collapsed="false">
      <c r="A459" s="75"/>
      <c r="B459" s="76"/>
      <c r="C459" s="77"/>
      <c r="D459" s="77"/>
      <c r="E459" s="78"/>
      <c r="F459" s="77"/>
      <c r="G459" s="77"/>
      <c r="H459" s="79" t="n">
        <f aca="false">N(H458)+IFERROR(IF(AND($A459&lt;&gt;"",$E459&lt;&gt;"",$A459&gt;=IF(Search!$E$4="",0,Search!$E$4),$A459&lt;=IF(Search!$E$5="",99999,Search!$E$5),OR(Search!$E$6="",ISNUMBER(SEARCH(Search!$E$6,$C459))),OR(Search!$E$7="All",Search!$E$7="",$D459=Search!$E$7),OR(Search!$E$8="",Search!$E$9="",AND($B459&lt;&gt;"",MOD($B459,1)&gt;=Search!$E$8,MOD($B459,1)&lt;=Search!$E$9))),1,0),0)</f>
        <v>0</v>
      </c>
      <c r="I459" s="79" t="n">
        <f aca="false">IF(H459&gt;N(H458),$E459,0)</f>
        <v>0</v>
      </c>
      <c r="J459" s="79" t="n">
        <f aca="false">IFERROR(IF(AND($A459&lt;&gt;"",$E459&lt;&gt;"",$A459&gt;=PeriodStart,$A459&lt;=PeriodEnd),$E459+ROW()/1000000,0),0)</f>
        <v>0</v>
      </c>
    </row>
    <row r="460" customFormat="false" ht="15" hidden="false" customHeight="false" outlineLevel="0" collapsed="false">
      <c r="A460" s="75"/>
      <c r="B460" s="76"/>
      <c r="C460" s="77"/>
      <c r="D460" s="77"/>
      <c r="E460" s="78"/>
      <c r="F460" s="77"/>
      <c r="G460" s="77"/>
      <c r="H460" s="79" t="n">
        <f aca="false">N(H459)+IFERROR(IF(AND($A460&lt;&gt;"",$E460&lt;&gt;"",$A460&gt;=IF(Search!$E$4="",0,Search!$E$4),$A460&lt;=IF(Search!$E$5="",99999,Search!$E$5),OR(Search!$E$6="",ISNUMBER(SEARCH(Search!$E$6,$C460))),OR(Search!$E$7="All",Search!$E$7="",$D460=Search!$E$7),OR(Search!$E$8="",Search!$E$9="",AND($B460&lt;&gt;"",MOD($B460,1)&gt;=Search!$E$8,MOD($B460,1)&lt;=Search!$E$9))),1,0),0)</f>
        <v>0</v>
      </c>
      <c r="I460" s="79" t="n">
        <f aca="false">IF(H460&gt;N(H459),$E460,0)</f>
        <v>0</v>
      </c>
      <c r="J460" s="79" t="n">
        <f aca="false">IFERROR(IF(AND($A460&lt;&gt;"",$E460&lt;&gt;"",$A460&gt;=PeriodStart,$A460&lt;=PeriodEnd),$E460+ROW()/1000000,0),0)</f>
        <v>0</v>
      </c>
    </row>
    <row r="461" customFormat="false" ht="15" hidden="false" customHeight="false" outlineLevel="0" collapsed="false">
      <c r="A461" s="75"/>
      <c r="B461" s="76"/>
      <c r="C461" s="77"/>
      <c r="D461" s="77"/>
      <c r="E461" s="78"/>
      <c r="F461" s="77"/>
      <c r="G461" s="77"/>
      <c r="H461" s="79" t="n">
        <f aca="false">N(H460)+IFERROR(IF(AND($A461&lt;&gt;"",$E461&lt;&gt;"",$A461&gt;=IF(Search!$E$4="",0,Search!$E$4),$A461&lt;=IF(Search!$E$5="",99999,Search!$E$5),OR(Search!$E$6="",ISNUMBER(SEARCH(Search!$E$6,$C461))),OR(Search!$E$7="All",Search!$E$7="",$D461=Search!$E$7),OR(Search!$E$8="",Search!$E$9="",AND($B461&lt;&gt;"",MOD($B461,1)&gt;=Search!$E$8,MOD($B461,1)&lt;=Search!$E$9))),1,0),0)</f>
        <v>0</v>
      </c>
      <c r="I461" s="79" t="n">
        <f aca="false">IF(H461&gt;N(H460),$E461,0)</f>
        <v>0</v>
      </c>
      <c r="J461" s="79" t="n">
        <f aca="false">IFERROR(IF(AND($A461&lt;&gt;"",$E461&lt;&gt;"",$A461&gt;=PeriodStart,$A461&lt;=PeriodEnd),$E461+ROW()/1000000,0),0)</f>
        <v>0</v>
      </c>
    </row>
    <row r="462" customFormat="false" ht="15" hidden="false" customHeight="false" outlineLevel="0" collapsed="false">
      <c r="A462" s="75"/>
      <c r="B462" s="76"/>
      <c r="C462" s="77"/>
      <c r="D462" s="77"/>
      <c r="E462" s="78"/>
      <c r="F462" s="77"/>
      <c r="G462" s="77"/>
      <c r="H462" s="79" t="n">
        <f aca="false">N(H461)+IFERROR(IF(AND($A462&lt;&gt;"",$E462&lt;&gt;"",$A462&gt;=IF(Search!$E$4="",0,Search!$E$4),$A462&lt;=IF(Search!$E$5="",99999,Search!$E$5),OR(Search!$E$6="",ISNUMBER(SEARCH(Search!$E$6,$C462))),OR(Search!$E$7="All",Search!$E$7="",$D462=Search!$E$7),OR(Search!$E$8="",Search!$E$9="",AND($B462&lt;&gt;"",MOD($B462,1)&gt;=Search!$E$8,MOD($B462,1)&lt;=Search!$E$9))),1,0),0)</f>
        <v>0</v>
      </c>
      <c r="I462" s="79" t="n">
        <f aca="false">IF(H462&gt;N(H461),$E462,0)</f>
        <v>0</v>
      </c>
      <c r="J462" s="79" t="n">
        <f aca="false">IFERROR(IF(AND($A462&lt;&gt;"",$E462&lt;&gt;"",$A462&gt;=PeriodStart,$A462&lt;=PeriodEnd),$E462+ROW()/1000000,0),0)</f>
        <v>0</v>
      </c>
    </row>
    <row r="463" customFormat="false" ht="15" hidden="false" customHeight="false" outlineLevel="0" collapsed="false">
      <c r="A463" s="75"/>
      <c r="B463" s="76"/>
      <c r="C463" s="77"/>
      <c r="D463" s="77"/>
      <c r="E463" s="78"/>
      <c r="F463" s="77"/>
      <c r="G463" s="77"/>
      <c r="H463" s="79" t="n">
        <f aca="false">N(H462)+IFERROR(IF(AND($A463&lt;&gt;"",$E463&lt;&gt;"",$A463&gt;=IF(Search!$E$4="",0,Search!$E$4),$A463&lt;=IF(Search!$E$5="",99999,Search!$E$5),OR(Search!$E$6="",ISNUMBER(SEARCH(Search!$E$6,$C463))),OR(Search!$E$7="All",Search!$E$7="",$D463=Search!$E$7),OR(Search!$E$8="",Search!$E$9="",AND($B463&lt;&gt;"",MOD($B463,1)&gt;=Search!$E$8,MOD($B463,1)&lt;=Search!$E$9))),1,0),0)</f>
        <v>0</v>
      </c>
      <c r="I463" s="79" t="n">
        <f aca="false">IF(H463&gt;N(H462),$E463,0)</f>
        <v>0</v>
      </c>
      <c r="J463" s="79" t="n">
        <f aca="false">IFERROR(IF(AND($A463&lt;&gt;"",$E463&lt;&gt;"",$A463&gt;=PeriodStart,$A463&lt;=PeriodEnd),$E463+ROW()/1000000,0),0)</f>
        <v>0</v>
      </c>
    </row>
    <row r="464" customFormat="false" ht="15" hidden="false" customHeight="false" outlineLevel="0" collapsed="false">
      <c r="A464" s="75"/>
      <c r="B464" s="76"/>
      <c r="C464" s="77"/>
      <c r="D464" s="77"/>
      <c r="E464" s="78"/>
      <c r="F464" s="77"/>
      <c r="G464" s="77"/>
      <c r="H464" s="79" t="n">
        <f aca="false">N(H463)+IFERROR(IF(AND($A464&lt;&gt;"",$E464&lt;&gt;"",$A464&gt;=IF(Search!$E$4="",0,Search!$E$4),$A464&lt;=IF(Search!$E$5="",99999,Search!$E$5),OR(Search!$E$6="",ISNUMBER(SEARCH(Search!$E$6,$C464))),OR(Search!$E$7="All",Search!$E$7="",$D464=Search!$E$7),OR(Search!$E$8="",Search!$E$9="",AND($B464&lt;&gt;"",MOD($B464,1)&gt;=Search!$E$8,MOD($B464,1)&lt;=Search!$E$9))),1,0),0)</f>
        <v>0</v>
      </c>
      <c r="I464" s="79" t="n">
        <f aca="false">IF(H464&gt;N(H463),$E464,0)</f>
        <v>0</v>
      </c>
      <c r="J464" s="79" t="n">
        <f aca="false">IFERROR(IF(AND($A464&lt;&gt;"",$E464&lt;&gt;"",$A464&gt;=PeriodStart,$A464&lt;=PeriodEnd),$E464+ROW()/1000000,0),0)</f>
        <v>0</v>
      </c>
    </row>
    <row r="465" customFormat="false" ht="15" hidden="false" customHeight="false" outlineLevel="0" collapsed="false">
      <c r="A465" s="75"/>
      <c r="B465" s="76"/>
      <c r="C465" s="77"/>
      <c r="D465" s="77"/>
      <c r="E465" s="78"/>
      <c r="F465" s="77"/>
      <c r="G465" s="77"/>
      <c r="H465" s="79" t="n">
        <f aca="false">N(H464)+IFERROR(IF(AND($A465&lt;&gt;"",$E465&lt;&gt;"",$A465&gt;=IF(Search!$E$4="",0,Search!$E$4),$A465&lt;=IF(Search!$E$5="",99999,Search!$E$5),OR(Search!$E$6="",ISNUMBER(SEARCH(Search!$E$6,$C465))),OR(Search!$E$7="All",Search!$E$7="",$D465=Search!$E$7),OR(Search!$E$8="",Search!$E$9="",AND($B465&lt;&gt;"",MOD($B465,1)&gt;=Search!$E$8,MOD($B465,1)&lt;=Search!$E$9))),1,0),0)</f>
        <v>0</v>
      </c>
      <c r="I465" s="79" t="n">
        <f aca="false">IF(H465&gt;N(H464),$E465,0)</f>
        <v>0</v>
      </c>
      <c r="J465" s="79" t="n">
        <f aca="false">IFERROR(IF(AND($A465&lt;&gt;"",$E465&lt;&gt;"",$A465&gt;=PeriodStart,$A465&lt;=PeriodEnd),$E465+ROW()/1000000,0),0)</f>
        <v>0</v>
      </c>
    </row>
    <row r="466" customFormat="false" ht="15" hidden="false" customHeight="false" outlineLevel="0" collapsed="false">
      <c r="A466" s="75"/>
      <c r="B466" s="76"/>
      <c r="C466" s="77"/>
      <c r="D466" s="77"/>
      <c r="E466" s="78"/>
      <c r="F466" s="77"/>
      <c r="G466" s="77"/>
      <c r="H466" s="79" t="n">
        <f aca="false">N(H465)+IFERROR(IF(AND($A466&lt;&gt;"",$E466&lt;&gt;"",$A466&gt;=IF(Search!$E$4="",0,Search!$E$4),$A466&lt;=IF(Search!$E$5="",99999,Search!$E$5),OR(Search!$E$6="",ISNUMBER(SEARCH(Search!$E$6,$C466))),OR(Search!$E$7="All",Search!$E$7="",$D466=Search!$E$7),OR(Search!$E$8="",Search!$E$9="",AND($B466&lt;&gt;"",MOD($B466,1)&gt;=Search!$E$8,MOD($B466,1)&lt;=Search!$E$9))),1,0),0)</f>
        <v>0</v>
      </c>
      <c r="I466" s="79" t="n">
        <f aca="false">IF(H466&gt;N(H465),$E466,0)</f>
        <v>0</v>
      </c>
      <c r="J466" s="79" t="n">
        <f aca="false">IFERROR(IF(AND($A466&lt;&gt;"",$E466&lt;&gt;"",$A466&gt;=PeriodStart,$A466&lt;=PeriodEnd),$E466+ROW()/1000000,0),0)</f>
        <v>0</v>
      </c>
    </row>
    <row r="467" customFormat="false" ht="15" hidden="false" customHeight="false" outlineLevel="0" collapsed="false">
      <c r="A467" s="75"/>
      <c r="B467" s="76"/>
      <c r="C467" s="77"/>
      <c r="D467" s="77"/>
      <c r="E467" s="78"/>
      <c r="F467" s="77"/>
      <c r="G467" s="77"/>
      <c r="H467" s="79" t="n">
        <f aca="false">N(H466)+IFERROR(IF(AND($A467&lt;&gt;"",$E467&lt;&gt;"",$A467&gt;=IF(Search!$E$4="",0,Search!$E$4),$A467&lt;=IF(Search!$E$5="",99999,Search!$E$5),OR(Search!$E$6="",ISNUMBER(SEARCH(Search!$E$6,$C467))),OR(Search!$E$7="All",Search!$E$7="",$D467=Search!$E$7),OR(Search!$E$8="",Search!$E$9="",AND($B467&lt;&gt;"",MOD($B467,1)&gt;=Search!$E$8,MOD($B467,1)&lt;=Search!$E$9))),1,0),0)</f>
        <v>0</v>
      </c>
      <c r="I467" s="79" t="n">
        <f aca="false">IF(H467&gt;N(H466),$E467,0)</f>
        <v>0</v>
      </c>
      <c r="J467" s="79" t="n">
        <f aca="false">IFERROR(IF(AND($A467&lt;&gt;"",$E467&lt;&gt;"",$A467&gt;=PeriodStart,$A467&lt;=PeriodEnd),$E467+ROW()/1000000,0),0)</f>
        <v>0</v>
      </c>
    </row>
    <row r="468" customFormat="false" ht="15" hidden="false" customHeight="false" outlineLevel="0" collapsed="false">
      <c r="A468" s="75"/>
      <c r="B468" s="76"/>
      <c r="C468" s="77"/>
      <c r="D468" s="77"/>
      <c r="E468" s="78"/>
      <c r="F468" s="77"/>
      <c r="G468" s="77"/>
      <c r="H468" s="79" t="n">
        <f aca="false">N(H467)+IFERROR(IF(AND($A468&lt;&gt;"",$E468&lt;&gt;"",$A468&gt;=IF(Search!$E$4="",0,Search!$E$4),$A468&lt;=IF(Search!$E$5="",99999,Search!$E$5),OR(Search!$E$6="",ISNUMBER(SEARCH(Search!$E$6,$C468))),OR(Search!$E$7="All",Search!$E$7="",$D468=Search!$E$7),OR(Search!$E$8="",Search!$E$9="",AND($B468&lt;&gt;"",MOD($B468,1)&gt;=Search!$E$8,MOD($B468,1)&lt;=Search!$E$9))),1,0),0)</f>
        <v>0</v>
      </c>
      <c r="I468" s="79" t="n">
        <f aca="false">IF(H468&gt;N(H467),$E468,0)</f>
        <v>0</v>
      </c>
      <c r="J468" s="79" t="n">
        <f aca="false">IFERROR(IF(AND($A468&lt;&gt;"",$E468&lt;&gt;"",$A468&gt;=PeriodStart,$A468&lt;=PeriodEnd),$E468+ROW()/1000000,0),0)</f>
        <v>0</v>
      </c>
    </row>
    <row r="469" customFormat="false" ht="15" hidden="false" customHeight="false" outlineLevel="0" collapsed="false">
      <c r="A469" s="75"/>
      <c r="B469" s="76"/>
      <c r="C469" s="77"/>
      <c r="D469" s="77"/>
      <c r="E469" s="78"/>
      <c r="F469" s="77"/>
      <c r="G469" s="77"/>
      <c r="H469" s="79" t="n">
        <f aca="false">N(H468)+IFERROR(IF(AND($A469&lt;&gt;"",$E469&lt;&gt;"",$A469&gt;=IF(Search!$E$4="",0,Search!$E$4),$A469&lt;=IF(Search!$E$5="",99999,Search!$E$5),OR(Search!$E$6="",ISNUMBER(SEARCH(Search!$E$6,$C469))),OR(Search!$E$7="All",Search!$E$7="",$D469=Search!$E$7),OR(Search!$E$8="",Search!$E$9="",AND($B469&lt;&gt;"",MOD($B469,1)&gt;=Search!$E$8,MOD($B469,1)&lt;=Search!$E$9))),1,0),0)</f>
        <v>0</v>
      </c>
      <c r="I469" s="79" t="n">
        <f aca="false">IF(H469&gt;N(H468),$E469,0)</f>
        <v>0</v>
      </c>
      <c r="J469" s="79" t="n">
        <f aca="false">IFERROR(IF(AND($A469&lt;&gt;"",$E469&lt;&gt;"",$A469&gt;=PeriodStart,$A469&lt;=PeriodEnd),$E469+ROW()/1000000,0),0)</f>
        <v>0</v>
      </c>
    </row>
    <row r="470" customFormat="false" ht="15" hidden="false" customHeight="false" outlineLevel="0" collapsed="false">
      <c r="A470" s="75"/>
      <c r="B470" s="76"/>
      <c r="C470" s="77"/>
      <c r="D470" s="77"/>
      <c r="E470" s="78"/>
      <c r="F470" s="77"/>
      <c r="G470" s="77"/>
      <c r="H470" s="79" t="n">
        <f aca="false">N(H469)+IFERROR(IF(AND($A470&lt;&gt;"",$E470&lt;&gt;"",$A470&gt;=IF(Search!$E$4="",0,Search!$E$4),$A470&lt;=IF(Search!$E$5="",99999,Search!$E$5),OR(Search!$E$6="",ISNUMBER(SEARCH(Search!$E$6,$C470))),OR(Search!$E$7="All",Search!$E$7="",$D470=Search!$E$7),OR(Search!$E$8="",Search!$E$9="",AND($B470&lt;&gt;"",MOD($B470,1)&gt;=Search!$E$8,MOD($B470,1)&lt;=Search!$E$9))),1,0),0)</f>
        <v>0</v>
      </c>
      <c r="I470" s="79" t="n">
        <f aca="false">IF(H470&gt;N(H469),$E470,0)</f>
        <v>0</v>
      </c>
      <c r="J470" s="79" t="n">
        <f aca="false">IFERROR(IF(AND($A470&lt;&gt;"",$E470&lt;&gt;"",$A470&gt;=PeriodStart,$A470&lt;=PeriodEnd),$E470+ROW()/1000000,0),0)</f>
        <v>0</v>
      </c>
    </row>
    <row r="471" customFormat="false" ht="15" hidden="false" customHeight="false" outlineLevel="0" collapsed="false">
      <c r="A471" s="75"/>
      <c r="B471" s="76"/>
      <c r="C471" s="77"/>
      <c r="D471" s="77"/>
      <c r="E471" s="78"/>
      <c r="F471" s="77"/>
      <c r="G471" s="77"/>
      <c r="H471" s="79" t="n">
        <f aca="false">N(H470)+IFERROR(IF(AND($A471&lt;&gt;"",$E471&lt;&gt;"",$A471&gt;=IF(Search!$E$4="",0,Search!$E$4),$A471&lt;=IF(Search!$E$5="",99999,Search!$E$5),OR(Search!$E$6="",ISNUMBER(SEARCH(Search!$E$6,$C471))),OR(Search!$E$7="All",Search!$E$7="",$D471=Search!$E$7),OR(Search!$E$8="",Search!$E$9="",AND($B471&lt;&gt;"",MOD($B471,1)&gt;=Search!$E$8,MOD($B471,1)&lt;=Search!$E$9))),1,0),0)</f>
        <v>0</v>
      </c>
      <c r="I471" s="79" t="n">
        <f aca="false">IF(H471&gt;N(H470),$E471,0)</f>
        <v>0</v>
      </c>
      <c r="J471" s="79" t="n">
        <f aca="false">IFERROR(IF(AND($A471&lt;&gt;"",$E471&lt;&gt;"",$A471&gt;=PeriodStart,$A471&lt;=PeriodEnd),$E471+ROW()/1000000,0),0)</f>
        <v>0</v>
      </c>
    </row>
    <row r="472" customFormat="false" ht="15" hidden="false" customHeight="false" outlineLevel="0" collapsed="false">
      <c r="A472" s="75"/>
      <c r="B472" s="76"/>
      <c r="C472" s="77"/>
      <c r="D472" s="77"/>
      <c r="E472" s="78"/>
      <c r="F472" s="77"/>
      <c r="G472" s="77"/>
      <c r="H472" s="79" t="n">
        <f aca="false">N(H471)+IFERROR(IF(AND($A472&lt;&gt;"",$E472&lt;&gt;"",$A472&gt;=IF(Search!$E$4="",0,Search!$E$4),$A472&lt;=IF(Search!$E$5="",99999,Search!$E$5),OR(Search!$E$6="",ISNUMBER(SEARCH(Search!$E$6,$C472))),OR(Search!$E$7="All",Search!$E$7="",$D472=Search!$E$7),OR(Search!$E$8="",Search!$E$9="",AND($B472&lt;&gt;"",MOD($B472,1)&gt;=Search!$E$8,MOD($B472,1)&lt;=Search!$E$9))),1,0),0)</f>
        <v>0</v>
      </c>
      <c r="I472" s="79" t="n">
        <f aca="false">IF(H472&gt;N(H471),$E472,0)</f>
        <v>0</v>
      </c>
      <c r="J472" s="79" t="n">
        <f aca="false">IFERROR(IF(AND($A472&lt;&gt;"",$E472&lt;&gt;"",$A472&gt;=PeriodStart,$A472&lt;=PeriodEnd),$E472+ROW()/1000000,0),0)</f>
        <v>0</v>
      </c>
    </row>
    <row r="473" customFormat="false" ht="15" hidden="false" customHeight="false" outlineLevel="0" collapsed="false">
      <c r="A473" s="75"/>
      <c r="B473" s="76"/>
      <c r="C473" s="77"/>
      <c r="D473" s="77"/>
      <c r="E473" s="78"/>
      <c r="F473" s="77"/>
      <c r="G473" s="77"/>
      <c r="H473" s="79" t="n">
        <f aca="false">N(H472)+IFERROR(IF(AND($A473&lt;&gt;"",$E473&lt;&gt;"",$A473&gt;=IF(Search!$E$4="",0,Search!$E$4),$A473&lt;=IF(Search!$E$5="",99999,Search!$E$5),OR(Search!$E$6="",ISNUMBER(SEARCH(Search!$E$6,$C473))),OR(Search!$E$7="All",Search!$E$7="",$D473=Search!$E$7),OR(Search!$E$8="",Search!$E$9="",AND($B473&lt;&gt;"",MOD($B473,1)&gt;=Search!$E$8,MOD($B473,1)&lt;=Search!$E$9))),1,0),0)</f>
        <v>0</v>
      </c>
      <c r="I473" s="79" t="n">
        <f aca="false">IF(H473&gt;N(H472),$E473,0)</f>
        <v>0</v>
      </c>
      <c r="J473" s="79" t="n">
        <f aca="false">IFERROR(IF(AND($A473&lt;&gt;"",$E473&lt;&gt;"",$A473&gt;=PeriodStart,$A473&lt;=PeriodEnd),$E473+ROW()/1000000,0),0)</f>
        <v>0</v>
      </c>
    </row>
    <row r="474" customFormat="false" ht="15" hidden="false" customHeight="false" outlineLevel="0" collapsed="false">
      <c r="A474" s="75"/>
      <c r="B474" s="76"/>
      <c r="C474" s="77"/>
      <c r="D474" s="77"/>
      <c r="E474" s="78"/>
      <c r="F474" s="77"/>
      <c r="G474" s="77"/>
      <c r="H474" s="79" t="n">
        <f aca="false">N(H473)+IFERROR(IF(AND($A474&lt;&gt;"",$E474&lt;&gt;"",$A474&gt;=IF(Search!$E$4="",0,Search!$E$4),$A474&lt;=IF(Search!$E$5="",99999,Search!$E$5),OR(Search!$E$6="",ISNUMBER(SEARCH(Search!$E$6,$C474))),OR(Search!$E$7="All",Search!$E$7="",$D474=Search!$E$7),OR(Search!$E$8="",Search!$E$9="",AND($B474&lt;&gt;"",MOD($B474,1)&gt;=Search!$E$8,MOD($B474,1)&lt;=Search!$E$9))),1,0),0)</f>
        <v>0</v>
      </c>
      <c r="I474" s="79" t="n">
        <f aca="false">IF(H474&gt;N(H473),$E474,0)</f>
        <v>0</v>
      </c>
      <c r="J474" s="79" t="n">
        <f aca="false">IFERROR(IF(AND($A474&lt;&gt;"",$E474&lt;&gt;"",$A474&gt;=PeriodStart,$A474&lt;=PeriodEnd),$E474+ROW()/1000000,0),0)</f>
        <v>0</v>
      </c>
    </row>
    <row r="475" customFormat="false" ht="15" hidden="false" customHeight="false" outlineLevel="0" collapsed="false">
      <c r="A475" s="75"/>
      <c r="B475" s="76"/>
      <c r="C475" s="77"/>
      <c r="D475" s="77"/>
      <c r="E475" s="78"/>
      <c r="F475" s="77"/>
      <c r="G475" s="77"/>
      <c r="H475" s="79" t="n">
        <f aca="false">N(H474)+IFERROR(IF(AND($A475&lt;&gt;"",$E475&lt;&gt;"",$A475&gt;=IF(Search!$E$4="",0,Search!$E$4),$A475&lt;=IF(Search!$E$5="",99999,Search!$E$5),OR(Search!$E$6="",ISNUMBER(SEARCH(Search!$E$6,$C475))),OR(Search!$E$7="All",Search!$E$7="",$D475=Search!$E$7),OR(Search!$E$8="",Search!$E$9="",AND($B475&lt;&gt;"",MOD($B475,1)&gt;=Search!$E$8,MOD($B475,1)&lt;=Search!$E$9))),1,0),0)</f>
        <v>0</v>
      </c>
      <c r="I475" s="79" t="n">
        <f aca="false">IF(H475&gt;N(H474),$E475,0)</f>
        <v>0</v>
      </c>
      <c r="J475" s="79" t="n">
        <f aca="false">IFERROR(IF(AND($A475&lt;&gt;"",$E475&lt;&gt;"",$A475&gt;=PeriodStart,$A475&lt;=PeriodEnd),$E475+ROW()/1000000,0),0)</f>
        <v>0</v>
      </c>
    </row>
    <row r="476" customFormat="false" ht="15" hidden="false" customHeight="false" outlineLevel="0" collapsed="false">
      <c r="A476" s="75"/>
      <c r="B476" s="76"/>
      <c r="C476" s="77"/>
      <c r="D476" s="77"/>
      <c r="E476" s="78"/>
      <c r="F476" s="77"/>
      <c r="G476" s="77"/>
      <c r="H476" s="79" t="n">
        <f aca="false">N(H475)+IFERROR(IF(AND($A476&lt;&gt;"",$E476&lt;&gt;"",$A476&gt;=IF(Search!$E$4="",0,Search!$E$4),$A476&lt;=IF(Search!$E$5="",99999,Search!$E$5),OR(Search!$E$6="",ISNUMBER(SEARCH(Search!$E$6,$C476))),OR(Search!$E$7="All",Search!$E$7="",$D476=Search!$E$7),OR(Search!$E$8="",Search!$E$9="",AND($B476&lt;&gt;"",MOD($B476,1)&gt;=Search!$E$8,MOD($B476,1)&lt;=Search!$E$9))),1,0),0)</f>
        <v>0</v>
      </c>
      <c r="I476" s="79" t="n">
        <f aca="false">IF(H476&gt;N(H475),$E476,0)</f>
        <v>0</v>
      </c>
      <c r="J476" s="79" t="n">
        <f aca="false">IFERROR(IF(AND($A476&lt;&gt;"",$E476&lt;&gt;"",$A476&gt;=PeriodStart,$A476&lt;=PeriodEnd),$E476+ROW()/1000000,0),0)</f>
        <v>0</v>
      </c>
    </row>
    <row r="477" customFormat="false" ht="15" hidden="false" customHeight="false" outlineLevel="0" collapsed="false">
      <c r="A477" s="75"/>
      <c r="B477" s="76"/>
      <c r="C477" s="77"/>
      <c r="D477" s="77"/>
      <c r="E477" s="78"/>
      <c r="F477" s="77"/>
      <c r="G477" s="77"/>
      <c r="H477" s="79" t="n">
        <f aca="false">N(H476)+IFERROR(IF(AND($A477&lt;&gt;"",$E477&lt;&gt;"",$A477&gt;=IF(Search!$E$4="",0,Search!$E$4),$A477&lt;=IF(Search!$E$5="",99999,Search!$E$5),OR(Search!$E$6="",ISNUMBER(SEARCH(Search!$E$6,$C477))),OR(Search!$E$7="All",Search!$E$7="",$D477=Search!$E$7),OR(Search!$E$8="",Search!$E$9="",AND($B477&lt;&gt;"",MOD($B477,1)&gt;=Search!$E$8,MOD($B477,1)&lt;=Search!$E$9))),1,0),0)</f>
        <v>0</v>
      </c>
      <c r="I477" s="79" t="n">
        <f aca="false">IF(H477&gt;N(H476),$E477,0)</f>
        <v>0</v>
      </c>
      <c r="J477" s="79" t="n">
        <f aca="false">IFERROR(IF(AND($A477&lt;&gt;"",$E477&lt;&gt;"",$A477&gt;=PeriodStart,$A477&lt;=PeriodEnd),$E477+ROW()/1000000,0),0)</f>
        <v>0</v>
      </c>
    </row>
    <row r="478" customFormat="false" ht="15" hidden="false" customHeight="false" outlineLevel="0" collapsed="false">
      <c r="A478" s="75"/>
      <c r="B478" s="76"/>
      <c r="C478" s="77"/>
      <c r="D478" s="77"/>
      <c r="E478" s="78"/>
      <c r="F478" s="77"/>
      <c r="G478" s="77"/>
      <c r="H478" s="79" t="n">
        <f aca="false">N(H477)+IFERROR(IF(AND($A478&lt;&gt;"",$E478&lt;&gt;"",$A478&gt;=IF(Search!$E$4="",0,Search!$E$4),$A478&lt;=IF(Search!$E$5="",99999,Search!$E$5),OR(Search!$E$6="",ISNUMBER(SEARCH(Search!$E$6,$C478))),OR(Search!$E$7="All",Search!$E$7="",$D478=Search!$E$7),OR(Search!$E$8="",Search!$E$9="",AND($B478&lt;&gt;"",MOD($B478,1)&gt;=Search!$E$8,MOD($B478,1)&lt;=Search!$E$9))),1,0),0)</f>
        <v>0</v>
      </c>
      <c r="I478" s="79" t="n">
        <f aca="false">IF(H478&gt;N(H477),$E478,0)</f>
        <v>0</v>
      </c>
      <c r="J478" s="79" t="n">
        <f aca="false">IFERROR(IF(AND($A478&lt;&gt;"",$E478&lt;&gt;"",$A478&gt;=PeriodStart,$A478&lt;=PeriodEnd),$E478+ROW()/1000000,0),0)</f>
        <v>0</v>
      </c>
    </row>
    <row r="479" customFormat="false" ht="15" hidden="false" customHeight="false" outlineLevel="0" collapsed="false">
      <c r="A479" s="75"/>
      <c r="B479" s="76"/>
      <c r="C479" s="77"/>
      <c r="D479" s="77"/>
      <c r="E479" s="78"/>
      <c r="F479" s="77"/>
      <c r="G479" s="77"/>
      <c r="H479" s="79" t="n">
        <f aca="false">N(H478)+IFERROR(IF(AND($A479&lt;&gt;"",$E479&lt;&gt;"",$A479&gt;=IF(Search!$E$4="",0,Search!$E$4),$A479&lt;=IF(Search!$E$5="",99999,Search!$E$5),OR(Search!$E$6="",ISNUMBER(SEARCH(Search!$E$6,$C479))),OR(Search!$E$7="All",Search!$E$7="",$D479=Search!$E$7),OR(Search!$E$8="",Search!$E$9="",AND($B479&lt;&gt;"",MOD($B479,1)&gt;=Search!$E$8,MOD($B479,1)&lt;=Search!$E$9))),1,0),0)</f>
        <v>0</v>
      </c>
      <c r="I479" s="79" t="n">
        <f aca="false">IF(H479&gt;N(H478),$E479,0)</f>
        <v>0</v>
      </c>
      <c r="J479" s="79" t="n">
        <f aca="false">IFERROR(IF(AND($A479&lt;&gt;"",$E479&lt;&gt;"",$A479&gt;=PeriodStart,$A479&lt;=PeriodEnd),$E479+ROW()/1000000,0),0)</f>
        <v>0</v>
      </c>
    </row>
    <row r="480" customFormat="false" ht="15" hidden="false" customHeight="false" outlineLevel="0" collapsed="false">
      <c r="A480" s="75"/>
      <c r="B480" s="76"/>
      <c r="C480" s="77"/>
      <c r="D480" s="77"/>
      <c r="E480" s="78"/>
      <c r="F480" s="77"/>
      <c r="G480" s="77"/>
      <c r="H480" s="79" t="n">
        <f aca="false">N(H479)+IFERROR(IF(AND($A480&lt;&gt;"",$E480&lt;&gt;"",$A480&gt;=IF(Search!$E$4="",0,Search!$E$4),$A480&lt;=IF(Search!$E$5="",99999,Search!$E$5),OR(Search!$E$6="",ISNUMBER(SEARCH(Search!$E$6,$C480))),OR(Search!$E$7="All",Search!$E$7="",$D480=Search!$E$7),OR(Search!$E$8="",Search!$E$9="",AND($B480&lt;&gt;"",MOD($B480,1)&gt;=Search!$E$8,MOD($B480,1)&lt;=Search!$E$9))),1,0),0)</f>
        <v>0</v>
      </c>
      <c r="I480" s="79" t="n">
        <f aca="false">IF(H480&gt;N(H479),$E480,0)</f>
        <v>0</v>
      </c>
      <c r="J480" s="79" t="n">
        <f aca="false">IFERROR(IF(AND($A480&lt;&gt;"",$E480&lt;&gt;"",$A480&gt;=PeriodStart,$A480&lt;=PeriodEnd),$E480+ROW()/1000000,0),0)</f>
        <v>0</v>
      </c>
    </row>
    <row r="481" customFormat="false" ht="15" hidden="false" customHeight="false" outlineLevel="0" collapsed="false">
      <c r="A481" s="75"/>
      <c r="B481" s="76"/>
      <c r="C481" s="77"/>
      <c r="D481" s="77"/>
      <c r="E481" s="78"/>
      <c r="F481" s="77"/>
      <c r="G481" s="77"/>
      <c r="H481" s="79" t="n">
        <f aca="false">N(H480)+IFERROR(IF(AND($A481&lt;&gt;"",$E481&lt;&gt;"",$A481&gt;=IF(Search!$E$4="",0,Search!$E$4),$A481&lt;=IF(Search!$E$5="",99999,Search!$E$5),OR(Search!$E$6="",ISNUMBER(SEARCH(Search!$E$6,$C481))),OR(Search!$E$7="All",Search!$E$7="",$D481=Search!$E$7),OR(Search!$E$8="",Search!$E$9="",AND($B481&lt;&gt;"",MOD($B481,1)&gt;=Search!$E$8,MOD($B481,1)&lt;=Search!$E$9))),1,0),0)</f>
        <v>0</v>
      </c>
      <c r="I481" s="79" t="n">
        <f aca="false">IF(H481&gt;N(H480),$E481,0)</f>
        <v>0</v>
      </c>
      <c r="J481" s="79" t="n">
        <f aca="false">IFERROR(IF(AND($A481&lt;&gt;"",$E481&lt;&gt;"",$A481&gt;=PeriodStart,$A481&lt;=PeriodEnd),$E481+ROW()/1000000,0),0)</f>
        <v>0</v>
      </c>
    </row>
    <row r="482" customFormat="false" ht="15" hidden="false" customHeight="false" outlineLevel="0" collapsed="false">
      <c r="A482" s="75"/>
      <c r="B482" s="76"/>
      <c r="C482" s="77"/>
      <c r="D482" s="77"/>
      <c r="E482" s="78"/>
      <c r="F482" s="77"/>
      <c r="G482" s="77"/>
      <c r="H482" s="79" t="n">
        <f aca="false">N(H481)+IFERROR(IF(AND($A482&lt;&gt;"",$E482&lt;&gt;"",$A482&gt;=IF(Search!$E$4="",0,Search!$E$4),$A482&lt;=IF(Search!$E$5="",99999,Search!$E$5),OR(Search!$E$6="",ISNUMBER(SEARCH(Search!$E$6,$C482))),OR(Search!$E$7="All",Search!$E$7="",$D482=Search!$E$7),OR(Search!$E$8="",Search!$E$9="",AND($B482&lt;&gt;"",MOD($B482,1)&gt;=Search!$E$8,MOD($B482,1)&lt;=Search!$E$9))),1,0),0)</f>
        <v>0</v>
      </c>
      <c r="I482" s="79" t="n">
        <f aca="false">IF(H482&gt;N(H481),$E482,0)</f>
        <v>0</v>
      </c>
      <c r="J482" s="79" t="n">
        <f aca="false">IFERROR(IF(AND($A482&lt;&gt;"",$E482&lt;&gt;"",$A482&gt;=PeriodStart,$A482&lt;=PeriodEnd),$E482+ROW()/1000000,0),0)</f>
        <v>0</v>
      </c>
    </row>
    <row r="483" customFormat="false" ht="15" hidden="false" customHeight="false" outlineLevel="0" collapsed="false">
      <c r="A483" s="75"/>
      <c r="B483" s="76"/>
      <c r="C483" s="77"/>
      <c r="D483" s="77"/>
      <c r="E483" s="78"/>
      <c r="F483" s="77"/>
      <c r="G483" s="77"/>
      <c r="H483" s="79" t="n">
        <f aca="false">N(H482)+IFERROR(IF(AND($A483&lt;&gt;"",$E483&lt;&gt;"",$A483&gt;=IF(Search!$E$4="",0,Search!$E$4),$A483&lt;=IF(Search!$E$5="",99999,Search!$E$5),OR(Search!$E$6="",ISNUMBER(SEARCH(Search!$E$6,$C483))),OR(Search!$E$7="All",Search!$E$7="",$D483=Search!$E$7),OR(Search!$E$8="",Search!$E$9="",AND($B483&lt;&gt;"",MOD($B483,1)&gt;=Search!$E$8,MOD($B483,1)&lt;=Search!$E$9))),1,0),0)</f>
        <v>0</v>
      </c>
      <c r="I483" s="79" t="n">
        <f aca="false">IF(H483&gt;N(H482),$E483,0)</f>
        <v>0</v>
      </c>
      <c r="J483" s="79" t="n">
        <f aca="false">IFERROR(IF(AND($A483&lt;&gt;"",$E483&lt;&gt;"",$A483&gt;=PeriodStart,$A483&lt;=PeriodEnd),$E483+ROW()/1000000,0),0)</f>
        <v>0</v>
      </c>
    </row>
    <row r="484" customFormat="false" ht="15" hidden="false" customHeight="false" outlineLevel="0" collapsed="false">
      <c r="A484" s="75"/>
      <c r="B484" s="76"/>
      <c r="C484" s="77"/>
      <c r="D484" s="77"/>
      <c r="E484" s="78"/>
      <c r="F484" s="77"/>
      <c r="G484" s="77"/>
      <c r="H484" s="79" t="n">
        <f aca="false">N(H483)+IFERROR(IF(AND($A484&lt;&gt;"",$E484&lt;&gt;"",$A484&gt;=IF(Search!$E$4="",0,Search!$E$4),$A484&lt;=IF(Search!$E$5="",99999,Search!$E$5),OR(Search!$E$6="",ISNUMBER(SEARCH(Search!$E$6,$C484))),OR(Search!$E$7="All",Search!$E$7="",$D484=Search!$E$7),OR(Search!$E$8="",Search!$E$9="",AND($B484&lt;&gt;"",MOD($B484,1)&gt;=Search!$E$8,MOD($B484,1)&lt;=Search!$E$9))),1,0),0)</f>
        <v>0</v>
      </c>
      <c r="I484" s="79" t="n">
        <f aca="false">IF(H484&gt;N(H483),$E484,0)</f>
        <v>0</v>
      </c>
      <c r="J484" s="79" t="n">
        <f aca="false">IFERROR(IF(AND($A484&lt;&gt;"",$E484&lt;&gt;"",$A484&gt;=PeriodStart,$A484&lt;=PeriodEnd),$E484+ROW()/1000000,0),0)</f>
        <v>0</v>
      </c>
    </row>
    <row r="485" customFormat="false" ht="15" hidden="false" customHeight="false" outlineLevel="0" collapsed="false">
      <c r="A485" s="75"/>
      <c r="B485" s="76"/>
      <c r="C485" s="77"/>
      <c r="D485" s="77"/>
      <c r="E485" s="78"/>
      <c r="F485" s="77"/>
      <c r="G485" s="77"/>
      <c r="H485" s="79" t="n">
        <f aca="false">N(H484)+IFERROR(IF(AND($A485&lt;&gt;"",$E485&lt;&gt;"",$A485&gt;=IF(Search!$E$4="",0,Search!$E$4),$A485&lt;=IF(Search!$E$5="",99999,Search!$E$5),OR(Search!$E$6="",ISNUMBER(SEARCH(Search!$E$6,$C485))),OR(Search!$E$7="All",Search!$E$7="",$D485=Search!$E$7),OR(Search!$E$8="",Search!$E$9="",AND($B485&lt;&gt;"",MOD($B485,1)&gt;=Search!$E$8,MOD($B485,1)&lt;=Search!$E$9))),1,0),0)</f>
        <v>0</v>
      </c>
      <c r="I485" s="79" t="n">
        <f aca="false">IF(H485&gt;N(H484),$E485,0)</f>
        <v>0</v>
      </c>
      <c r="J485" s="79" t="n">
        <f aca="false">IFERROR(IF(AND($A485&lt;&gt;"",$E485&lt;&gt;"",$A485&gt;=PeriodStart,$A485&lt;=PeriodEnd),$E485+ROW()/1000000,0),0)</f>
        <v>0</v>
      </c>
    </row>
    <row r="486" customFormat="false" ht="15" hidden="false" customHeight="false" outlineLevel="0" collapsed="false">
      <c r="A486" s="75"/>
      <c r="B486" s="76"/>
      <c r="C486" s="77"/>
      <c r="D486" s="77"/>
      <c r="E486" s="78"/>
      <c r="F486" s="77"/>
      <c r="G486" s="77"/>
      <c r="H486" s="79" t="n">
        <f aca="false">N(H485)+IFERROR(IF(AND($A486&lt;&gt;"",$E486&lt;&gt;"",$A486&gt;=IF(Search!$E$4="",0,Search!$E$4),$A486&lt;=IF(Search!$E$5="",99999,Search!$E$5),OR(Search!$E$6="",ISNUMBER(SEARCH(Search!$E$6,$C486))),OR(Search!$E$7="All",Search!$E$7="",$D486=Search!$E$7),OR(Search!$E$8="",Search!$E$9="",AND($B486&lt;&gt;"",MOD($B486,1)&gt;=Search!$E$8,MOD($B486,1)&lt;=Search!$E$9))),1,0),0)</f>
        <v>0</v>
      </c>
      <c r="I486" s="79" t="n">
        <f aca="false">IF(H486&gt;N(H485),$E486,0)</f>
        <v>0</v>
      </c>
      <c r="J486" s="79" t="n">
        <f aca="false">IFERROR(IF(AND($A486&lt;&gt;"",$E486&lt;&gt;"",$A486&gt;=PeriodStart,$A486&lt;=PeriodEnd),$E486+ROW()/1000000,0),0)</f>
        <v>0</v>
      </c>
    </row>
    <row r="487" customFormat="false" ht="15" hidden="false" customHeight="false" outlineLevel="0" collapsed="false">
      <c r="A487" s="75"/>
      <c r="B487" s="76"/>
      <c r="C487" s="77"/>
      <c r="D487" s="77"/>
      <c r="E487" s="78"/>
      <c r="F487" s="77"/>
      <c r="G487" s="77"/>
      <c r="H487" s="79" t="n">
        <f aca="false">N(H486)+IFERROR(IF(AND($A487&lt;&gt;"",$E487&lt;&gt;"",$A487&gt;=IF(Search!$E$4="",0,Search!$E$4),$A487&lt;=IF(Search!$E$5="",99999,Search!$E$5),OR(Search!$E$6="",ISNUMBER(SEARCH(Search!$E$6,$C487))),OR(Search!$E$7="All",Search!$E$7="",$D487=Search!$E$7),OR(Search!$E$8="",Search!$E$9="",AND($B487&lt;&gt;"",MOD($B487,1)&gt;=Search!$E$8,MOD($B487,1)&lt;=Search!$E$9))),1,0),0)</f>
        <v>0</v>
      </c>
      <c r="I487" s="79" t="n">
        <f aca="false">IF(H487&gt;N(H486),$E487,0)</f>
        <v>0</v>
      </c>
      <c r="J487" s="79" t="n">
        <f aca="false">IFERROR(IF(AND($A487&lt;&gt;"",$E487&lt;&gt;"",$A487&gt;=PeriodStart,$A487&lt;=PeriodEnd),$E487+ROW()/1000000,0),0)</f>
        <v>0</v>
      </c>
    </row>
    <row r="488" customFormat="false" ht="15" hidden="false" customHeight="false" outlineLevel="0" collapsed="false">
      <c r="A488" s="75"/>
      <c r="B488" s="76"/>
      <c r="C488" s="77"/>
      <c r="D488" s="77"/>
      <c r="E488" s="78"/>
      <c r="F488" s="77"/>
      <c r="G488" s="77"/>
      <c r="H488" s="79" t="n">
        <f aca="false">N(H487)+IFERROR(IF(AND($A488&lt;&gt;"",$E488&lt;&gt;"",$A488&gt;=IF(Search!$E$4="",0,Search!$E$4),$A488&lt;=IF(Search!$E$5="",99999,Search!$E$5),OR(Search!$E$6="",ISNUMBER(SEARCH(Search!$E$6,$C488))),OR(Search!$E$7="All",Search!$E$7="",$D488=Search!$E$7),OR(Search!$E$8="",Search!$E$9="",AND($B488&lt;&gt;"",MOD($B488,1)&gt;=Search!$E$8,MOD($B488,1)&lt;=Search!$E$9))),1,0),0)</f>
        <v>0</v>
      </c>
      <c r="I488" s="79" t="n">
        <f aca="false">IF(H488&gt;N(H487),$E488,0)</f>
        <v>0</v>
      </c>
      <c r="J488" s="79" t="n">
        <f aca="false">IFERROR(IF(AND($A488&lt;&gt;"",$E488&lt;&gt;"",$A488&gt;=PeriodStart,$A488&lt;=PeriodEnd),$E488+ROW()/1000000,0),0)</f>
        <v>0</v>
      </c>
    </row>
    <row r="489" customFormat="false" ht="15" hidden="false" customHeight="false" outlineLevel="0" collapsed="false">
      <c r="A489" s="75"/>
      <c r="B489" s="76"/>
      <c r="C489" s="77"/>
      <c r="D489" s="77"/>
      <c r="E489" s="78"/>
      <c r="F489" s="77"/>
      <c r="G489" s="77"/>
      <c r="H489" s="79" t="n">
        <f aca="false">N(H488)+IFERROR(IF(AND($A489&lt;&gt;"",$E489&lt;&gt;"",$A489&gt;=IF(Search!$E$4="",0,Search!$E$4),$A489&lt;=IF(Search!$E$5="",99999,Search!$E$5),OR(Search!$E$6="",ISNUMBER(SEARCH(Search!$E$6,$C489))),OR(Search!$E$7="All",Search!$E$7="",$D489=Search!$E$7),OR(Search!$E$8="",Search!$E$9="",AND($B489&lt;&gt;"",MOD($B489,1)&gt;=Search!$E$8,MOD($B489,1)&lt;=Search!$E$9))),1,0),0)</f>
        <v>0</v>
      </c>
      <c r="I489" s="79" t="n">
        <f aca="false">IF(H489&gt;N(H488),$E489,0)</f>
        <v>0</v>
      </c>
      <c r="J489" s="79" t="n">
        <f aca="false">IFERROR(IF(AND($A489&lt;&gt;"",$E489&lt;&gt;"",$A489&gt;=PeriodStart,$A489&lt;=PeriodEnd),$E489+ROW()/1000000,0),0)</f>
        <v>0</v>
      </c>
    </row>
    <row r="490" customFormat="false" ht="15" hidden="false" customHeight="false" outlineLevel="0" collapsed="false">
      <c r="A490" s="75"/>
      <c r="B490" s="76"/>
      <c r="C490" s="77"/>
      <c r="D490" s="77"/>
      <c r="E490" s="78"/>
      <c r="F490" s="77"/>
      <c r="G490" s="77"/>
      <c r="H490" s="79" t="n">
        <f aca="false">N(H489)+IFERROR(IF(AND($A490&lt;&gt;"",$E490&lt;&gt;"",$A490&gt;=IF(Search!$E$4="",0,Search!$E$4),$A490&lt;=IF(Search!$E$5="",99999,Search!$E$5),OR(Search!$E$6="",ISNUMBER(SEARCH(Search!$E$6,$C490))),OR(Search!$E$7="All",Search!$E$7="",$D490=Search!$E$7),OR(Search!$E$8="",Search!$E$9="",AND($B490&lt;&gt;"",MOD($B490,1)&gt;=Search!$E$8,MOD($B490,1)&lt;=Search!$E$9))),1,0),0)</f>
        <v>0</v>
      </c>
      <c r="I490" s="79" t="n">
        <f aca="false">IF(H490&gt;N(H489),$E490,0)</f>
        <v>0</v>
      </c>
      <c r="J490" s="79" t="n">
        <f aca="false">IFERROR(IF(AND($A490&lt;&gt;"",$E490&lt;&gt;"",$A490&gt;=PeriodStart,$A490&lt;=PeriodEnd),$E490+ROW()/1000000,0),0)</f>
        <v>0</v>
      </c>
    </row>
    <row r="491" customFormat="false" ht="15" hidden="false" customHeight="false" outlineLevel="0" collapsed="false">
      <c r="A491" s="75"/>
      <c r="B491" s="76"/>
      <c r="C491" s="77"/>
      <c r="D491" s="77"/>
      <c r="E491" s="78"/>
      <c r="F491" s="77"/>
      <c r="G491" s="77"/>
      <c r="H491" s="79" t="n">
        <f aca="false">N(H490)+IFERROR(IF(AND($A491&lt;&gt;"",$E491&lt;&gt;"",$A491&gt;=IF(Search!$E$4="",0,Search!$E$4),$A491&lt;=IF(Search!$E$5="",99999,Search!$E$5),OR(Search!$E$6="",ISNUMBER(SEARCH(Search!$E$6,$C491))),OR(Search!$E$7="All",Search!$E$7="",$D491=Search!$E$7),OR(Search!$E$8="",Search!$E$9="",AND($B491&lt;&gt;"",MOD($B491,1)&gt;=Search!$E$8,MOD($B491,1)&lt;=Search!$E$9))),1,0),0)</f>
        <v>0</v>
      </c>
      <c r="I491" s="79" t="n">
        <f aca="false">IF(H491&gt;N(H490),$E491,0)</f>
        <v>0</v>
      </c>
      <c r="J491" s="79" t="n">
        <f aca="false">IFERROR(IF(AND($A491&lt;&gt;"",$E491&lt;&gt;"",$A491&gt;=PeriodStart,$A491&lt;=PeriodEnd),$E491+ROW()/1000000,0),0)</f>
        <v>0</v>
      </c>
    </row>
    <row r="492" customFormat="false" ht="15" hidden="false" customHeight="false" outlineLevel="0" collapsed="false">
      <c r="A492" s="75"/>
      <c r="B492" s="76"/>
      <c r="C492" s="77"/>
      <c r="D492" s="77"/>
      <c r="E492" s="78"/>
      <c r="F492" s="77"/>
      <c r="G492" s="77"/>
      <c r="H492" s="79" t="n">
        <f aca="false">N(H491)+IFERROR(IF(AND($A492&lt;&gt;"",$E492&lt;&gt;"",$A492&gt;=IF(Search!$E$4="",0,Search!$E$4),$A492&lt;=IF(Search!$E$5="",99999,Search!$E$5),OR(Search!$E$6="",ISNUMBER(SEARCH(Search!$E$6,$C492))),OR(Search!$E$7="All",Search!$E$7="",$D492=Search!$E$7),OR(Search!$E$8="",Search!$E$9="",AND($B492&lt;&gt;"",MOD($B492,1)&gt;=Search!$E$8,MOD($B492,1)&lt;=Search!$E$9))),1,0),0)</f>
        <v>0</v>
      </c>
      <c r="I492" s="79" t="n">
        <f aca="false">IF(H492&gt;N(H491),$E492,0)</f>
        <v>0</v>
      </c>
      <c r="J492" s="79" t="n">
        <f aca="false">IFERROR(IF(AND($A492&lt;&gt;"",$E492&lt;&gt;"",$A492&gt;=PeriodStart,$A492&lt;=PeriodEnd),$E492+ROW()/1000000,0),0)</f>
        <v>0</v>
      </c>
    </row>
    <row r="493" customFormat="false" ht="15" hidden="false" customHeight="false" outlineLevel="0" collapsed="false">
      <c r="A493" s="75"/>
      <c r="B493" s="76"/>
      <c r="C493" s="77"/>
      <c r="D493" s="77"/>
      <c r="E493" s="78"/>
      <c r="F493" s="77"/>
      <c r="G493" s="77"/>
      <c r="H493" s="79" t="n">
        <f aca="false">N(H492)+IFERROR(IF(AND($A493&lt;&gt;"",$E493&lt;&gt;"",$A493&gt;=IF(Search!$E$4="",0,Search!$E$4),$A493&lt;=IF(Search!$E$5="",99999,Search!$E$5),OR(Search!$E$6="",ISNUMBER(SEARCH(Search!$E$6,$C493))),OR(Search!$E$7="All",Search!$E$7="",$D493=Search!$E$7),OR(Search!$E$8="",Search!$E$9="",AND($B493&lt;&gt;"",MOD($B493,1)&gt;=Search!$E$8,MOD($B493,1)&lt;=Search!$E$9))),1,0),0)</f>
        <v>0</v>
      </c>
      <c r="I493" s="79" t="n">
        <f aca="false">IF(H493&gt;N(H492),$E493,0)</f>
        <v>0</v>
      </c>
      <c r="J493" s="79" t="n">
        <f aca="false">IFERROR(IF(AND($A493&lt;&gt;"",$E493&lt;&gt;"",$A493&gt;=PeriodStart,$A493&lt;=PeriodEnd),$E493+ROW()/1000000,0),0)</f>
        <v>0</v>
      </c>
    </row>
    <row r="494" customFormat="false" ht="15" hidden="false" customHeight="false" outlineLevel="0" collapsed="false">
      <c r="A494" s="75"/>
      <c r="B494" s="76"/>
      <c r="C494" s="77"/>
      <c r="D494" s="77"/>
      <c r="E494" s="78"/>
      <c r="F494" s="77"/>
      <c r="G494" s="77"/>
      <c r="H494" s="79" t="n">
        <f aca="false">N(H493)+IFERROR(IF(AND($A494&lt;&gt;"",$E494&lt;&gt;"",$A494&gt;=IF(Search!$E$4="",0,Search!$E$4),$A494&lt;=IF(Search!$E$5="",99999,Search!$E$5),OR(Search!$E$6="",ISNUMBER(SEARCH(Search!$E$6,$C494))),OR(Search!$E$7="All",Search!$E$7="",$D494=Search!$E$7),OR(Search!$E$8="",Search!$E$9="",AND($B494&lt;&gt;"",MOD($B494,1)&gt;=Search!$E$8,MOD($B494,1)&lt;=Search!$E$9))),1,0),0)</f>
        <v>0</v>
      </c>
      <c r="I494" s="79" t="n">
        <f aca="false">IF(H494&gt;N(H493),$E494,0)</f>
        <v>0</v>
      </c>
      <c r="J494" s="79" t="n">
        <f aca="false">IFERROR(IF(AND($A494&lt;&gt;"",$E494&lt;&gt;"",$A494&gt;=PeriodStart,$A494&lt;=PeriodEnd),$E494+ROW()/1000000,0),0)</f>
        <v>0</v>
      </c>
    </row>
    <row r="495" customFormat="false" ht="15" hidden="false" customHeight="false" outlineLevel="0" collapsed="false">
      <c r="A495" s="75"/>
      <c r="B495" s="76"/>
      <c r="C495" s="77"/>
      <c r="D495" s="77"/>
      <c r="E495" s="78"/>
      <c r="F495" s="77"/>
      <c r="G495" s="77"/>
      <c r="H495" s="79" t="n">
        <f aca="false">N(H494)+IFERROR(IF(AND($A495&lt;&gt;"",$E495&lt;&gt;"",$A495&gt;=IF(Search!$E$4="",0,Search!$E$4),$A495&lt;=IF(Search!$E$5="",99999,Search!$E$5),OR(Search!$E$6="",ISNUMBER(SEARCH(Search!$E$6,$C495))),OR(Search!$E$7="All",Search!$E$7="",$D495=Search!$E$7),OR(Search!$E$8="",Search!$E$9="",AND($B495&lt;&gt;"",MOD($B495,1)&gt;=Search!$E$8,MOD($B495,1)&lt;=Search!$E$9))),1,0),0)</f>
        <v>0</v>
      </c>
      <c r="I495" s="79" t="n">
        <f aca="false">IF(H495&gt;N(H494),$E495,0)</f>
        <v>0</v>
      </c>
      <c r="J495" s="79" t="n">
        <f aca="false">IFERROR(IF(AND($A495&lt;&gt;"",$E495&lt;&gt;"",$A495&gt;=PeriodStart,$A495&lt;=PeriodEnd),$E495+ROW()/1000000,0),0)</f>
        <v>0</v>
      </c>
    </row>
    <row r="496" customFormat="false" ht="15" hidden="false" customHeight="false" outlineLevel="0" collapsed="false">
      <c r="A496" s="75"/>
      <c r="B496" s="76"/>
      <c r="C496" s="77"/>
      <c r="D496" s="77"/>
      <c r="E496" s="78"/>
      <c r="F496" s="77"/>
      <c r="G496" s="77"/>
      <c r="H496" s="79" t="n">
        <f aca="false">N(H495)+IFERROR(IF(AND($A496&lt;&gt;"",$E496&lt;&gt;"",$A496&gt;=IF(Search!$E$4="",0,Search!$E$4),$A496&lt;=IF(Search!$E$5="",99999,Search!$E$5),OR(Search!$E$6="",ISNUMBER(SEARCH(Search!$E$6,$C496))),OR(Search!$E$7="All",Search!$E$7="",$D496=Search!$E$7),OR(Search!$E$8="",Search!$E$9="",AND($B496&lt;&gt;"",MOD($B496,1)&gt;=Search!$E$8,MOD($B496,1)&lt;=Search!$E$9))),1,0),0)</f>
        <v>0</v>
      </c>
      <c r="I496" s="79" t="n">
        <f aca="false">IF(H496&gt;N(H495),$E496,0)</f>
        <v>0</v>
      </c>
      <c r="J496" s="79" t="n">
        <f aca="false">IFERROR(IF(AND($A496&lt;&gt;"",$E496&lt;&gt;"",$A496&gt;=PeriodStart,$A496&lt;=PeriodEnd),$E496+ROW()/1000000,0),0)</f>
        <v>0</v>
      </c>
    </row>
    <row r="497" customFormat="false" ht="15" hidden="false" customHeight="false" outlineLevel="0" collapsed="false">
      <c r="A497" s="75"/>
      <c r="B497" s="76"/>
      <c r="C497" s="77"/>
      <c r="D497" s="77"/>
      <c r="E497" s="78"/>
      <c r="F497" s="77"/>
      <c r="G497" s="77"/>
      <c r="H497" s="79" t="n">
        <f aca="false">N(H496)+IFERROR(IF(AND($A497&lt;&gt;"",$E497&lt;&gt;"",$A497&gt;=IF(Search!$E$4="",0,Search!$E$4),$A497&lt;=IF(Search!$E$5="",99999,Search!$E$5),OR(Search!$E$6="",ISNUMBER(SEARCH(Search!$E$6,$C497))),OR(Search!$E$7="All",Search!$E$7="",$D497=Search!$E$7),OR(Search!$E$8="",Search!$E$9="",AND($B497&lt;&gt;"",MOD($B497,1)&gt;=Search!$E$8,MOD($B497,1)&lt;=Search!$E$9))),1,0),0)</f>
        <v>0</v>
      </c>
      <c r="I497" s="79" t="n">
        <f aca="false">IF(H497&gt;N(H496),$E497,0)</f>
        <v>0</v>
      </c>
      <c r="J497" s="79" t="n">
        <f aca="false">IFERROR(IF(AND($A497&lt;&gt;"",$E497&lt;&gt;"",$A497&gt;=PeriodStart,$A497&lt;=PeriodEnd),$E497+ROW()/1000000,0),0)</f>
        <v>0</v>
      </c>
    </row>
    <row r="498" customFormat="false" ht="15" hidden="false" customHeight="false" outlineLevel="0" collapsed="false">
      <c r="A498" s="75"/>
      <c r="B498" s="76"/>
      <c r="C498" s="77"/>
      <c r="D498" s="77"/>
      <c r="E498" s="78"/>
      <c r="F498" s="77"/>
      <c r="G498" s="77"/>
      <c r="H498" s="79" t="n">
        <f aca="false">N(H497)+IFERROR(IF(AND($A498&lt;&gt;"",$E498&lt;&gt;"",$A498&gt;=IF(Search!$E$4="",0,Search!$E$4),$A498&lt;=IF(Search!$E$5="",99999,Search!$E$5),OR(Search!$E$6="",ISNUMBER(SEARCH(Search!$E$6,$C498))),OR(Search!$E$7="All",Search!$E$7="",$D498=Search!$E$7),OR(Search!$E$8="",Search!$E$9="",AND($B498&lt;&gt;"",MOD($B498,1)&gt;=Search!$E$8,MOD($B498,1)&lt;=Search!$E$9))),1,0),0)</f>
        <v>0</v>
      </c>
      <c r="I498" s="79" t="n">
        <f aca="false">IF(H498&gt;N(H497),$E498,0)</f>
        <v>0</v>
      </c>
      <c r="J498" s="79" t="n">
        <f aca="false">IFERROR(IF(AND($A498&lt;&gt;"",$E498&lt;&gt;"",$A498&gt;=PeriodStart,$A498&lt;=PeriodEnd),$E498+ROW()/1000000,0),0)</f>
        <v>0</v>
      </c>
    </row>
    <row r="499" customFormat="false" ht="15" hidden="false" customHeight="false" outlineLevel="0" collapsed="false">
      <c r="A499" s="75"/>
      <c r="B499" s="76"/>
      <c r="C499" s="77"/>
      <c r="D499" s="77"/>
      <c r="E499" s="78"/>
      <c r="F499" s="77"/>
      <c r="G499" s="77"/>
      <c r="H499" s="79" t="n">
        <f aca="false">N(H498)+IFERROR(IF(AND($A499&lt;&gt;"",$E499&lt;&gt;"",$A499&gt;=IF(Search!$E$4="",0,Search!$E$4),$A499&lt;=IF(Search!$E$5="",99999,Search!$E$5),OR(Search!$E$6="",ISNUMBER(SEARCH(Search!$E$6,$C499))),OR(Search!$E$7="All",Search!$E$7="",$D499=Search!$E$7),OR(Search!$E$8="",Search!$E$9="",AND($B499&lt;&gt;"",MOD($B499,1)&gt;=Search!$E$8,MOD($B499,1)&lt;=Search!$E$9))),1,0),0)</f>
        <v>0</v>
      </c>
      <c r="I499" s="79" t="n">
        <f aca="false">IF(H499&gt;N(H498),$E499,0)</f>
        <v>0</v>
      </c>
      <c r="J499" s="79" t="n">
        <f aca="false">IFERROR(IF(AND($A499&lt;&gt;"",$E499&lt;&gt;"",$A499&gt;=PeriodStart,$A499&lt;=PeriodEnd),$E499+ROW()/1000000,0),0)</f>
        <v>0</v>
      </c>
    </row>
    <row r="500" customFormat="false" ht="15" hidden="false" customHeight="false" outlineLevel="0" collapsed="false">
      <c r="A500" s="75"/>
      <c r="B500" s="76"/>
      <c r="C500" s="77"/>
      <c r="D500" s="77"/>
      <c r="E500" s="78"/>
      <c r="F500" s="77"/>
      <c r="G500" s="77"/>
      <c r="H500" s="79" t="n">
        <f aca="false">N(H499)+IFERROR(IF(AND($A500&lt;&gt;"",$E500&lt;&gt;"",$A500&gt;=IF(Search!$E$4="",0,Search!$E$4),$A500&lt;=IF(Search!$E$5="",99999,Search!$E$5),OR(Search!$E$6="",ISNUMBER(SEARCH(Search!$E$6,$C500))),OR(Search!$E$7="All",Search!$E$7="",$D500=Search!$E$7),OR(Search!$E$8="",Search!$E$9="",AND($B500&lt;&gt;"",MOD($B500,1)&gt;=Search!$E$8,MOD($B500,1)&lt;=Search!$E$9))),1,0),0)</f>
        <v>0</v>
      </c>
      <c r="I500" s="79" t="n">
        <f aca="false">IF(H500&gt;N(H499),$E500,0)</f>
        <v>0</v>
      </c>
      <c r="J500" s="79" t="n">
        <f aca="false">IFERROR(IF(AND($A500&lt;&gt;"",$E500&lt;&gt;"",$A500&gt;=PeriodStart,$A500&lt;=PeriodEnd),$E500+ROW()/1000000,0),0)</f>
        <v>0</v>
      </c>
    </row>
    <row r="501" customFormat="false" ht="15" hidden="false" customHeight="false" outlineLevel="0" collapsed="false">
      <c r="A501" s="75"/>
      <c r="B501" s="76"/>
      <c r="C501" s="77"/>
      <c r="D501" s="77"/>
      <c r="E501" s="78"/>
      <c r="F501" s="77"/>
      <c r="G501" s="77"/>
      <c r="H501" s="79" t="n">
        <f aca="false">N(H500)+IFERROR(IF(AND($A501&lt;&gt;"",$E501&lt;&gt;"",$A501&gt;=IF(Search!$E$4="",0,Search!$E$4),$A501&lt;=IF(Search!$E$5="",99999,Search!$E$5),OR(Search!$E$6="",ISNUMBER(SEARCH(Search!$E$6,$C501))),OR(Search!$E$7="All",Search!$E$7="",$D501=Search!$E$7),OR(Search!$E$8="",Search!$E$9="",AND($B501&lt;&gt;"",MOD($B501,1)&gt;=Search!$E$8,MOD($B501,1)&lt;=Search!$E$9))),1,0),0)</f>
        <v>0</v>
      </c>
      <c r="I501" s="79" t="n">
        <f aca="false">IF(H501&gt;N(H500),$E501,0)</f>
        <v>0</v>
      </c>
      <c r="J501" s="79" t="n">
        <f aca="false">IFERROR(IF(AND($A501&lt;&gt;"",$E501&lt;&gt;"",$A501&gt;=PeriodStart,$A501&lt;=PeriodEnd),$E501+ROW()/1000000,0),0)</f>
        <v>0</v>
      </c>
    </row>
    <row r="502" customFormat="false" ht="15" hidden="false" customHeight="false" outlineLevel="0" collapsed="false">
      <c r="A502" s="75"/>
      <c r="B502" s="76"/>
      <c r="C502" s="77"/>
      <c r="D502" s="77"/>
      <c r="E502" s="78"/>
      <c r="F502" s="77"/>
      <c r="G502" s="77"/>
      <c r="H502" s="79" t="n">
        <f aca="false">N(H501)+IFERROR(IF(AND($A502&lt;&gt;"",$E502&lt;&gt;"",$A502&gt;=IF(Search!$E$4="",0,Search!$E$4),$A502&lt;=IF(Search!$E$5="",99999,Search!$E$5),OR(Search!$E$6="",ISNUMBER(SEARCH(Search!$E$6,$C502))),OR(Search!$E$7="All",Search!$E$7="",$D502=Search!$E$7),OR(Search!$E$8="",Search!$E$9="",AND($B502&lt;&gt;"",MOD($B502,1)&gt;=Search!$E$8,MOD($B502,1)&lt;=Search!$E$9))),1,0),0)</f>
        <v>0</v>
      </c>
      <c r="I502" s="79" t="n">
        <f aca="false">IF(H502&gt;N(H501),$E502,0)</f>
        <v>0</v>
      </c>
      <c r="J502" s="79" t="n">
        <f aca="false">IFERROR(IF(AND($A502&lt;&gt;"",$E502&lt;&gt;"",$A502&gt;=PeriodStart,$A502&lt;=PeriodEnd),$E502+ROW()/1000000,0),0)</f>
        <v>0</v>
      </c>
    </row>
    <row r="503" customFormat="false" ht="15" hidden="false" customHeight="false" outlineLevel="0" collapsed="false">
      <c r="A503" s="75"/>
      <c r="B503" s="76"/>
      <c r="C503" s="77"/>
      <c r="D503" s="77"/>
      <c r="E503" s="78"/>
      <c r="F503" s="77"/>
      <c r="G503" s="77"/>
      <c r="H503" s="79" t="n">
        <f aca="false">N(H502)+IFERROR(IF(AND($A503&lt;&gt;"",$E503&lt;&gt;"",$A503&gt;=IF(Search!$E$4="",0,Search!$E$4),$A503&lt;=IF(Search!$E$5="",99999,Search!$E$5),OR(Search!$E$6="",ISNUMBER(SEARCH(Search!$E$6,$C503))),OR(Search!$E$7="All",Search!$E$7="",$D503=Search!$E$7),OR(Search!$E$8="",Search!$E$9="",AND($B503&lt;&gt;"",MOD($B503,1)&gt;=Search!$E$8,MOD($B503,1)&lt;=Search!$E$9))),1,0),0)</f>
        <v>0</v>
      </c>
      <c r="I503" s="79" t="n">
        <f aca="false">IF(H503&gt;N(H502),$E503,0)</f>
        <v>0</v>
      </c>
      <c r="J503" s="79" t="n">
        <f aca="false">IFERROR(IF(AND($A503&lt;&gt;"",$E503&lt;&gt;"",$A503&gt;=PeriodStart,$A503&lt;=PeriodEnd),$E503+ROW()/1000000,0),0)</f>
        <v>0</v>
      </c>
    </row>
    <row r="504" customFormat="false" ht="15" hidden="false" customHeight="false" outlineLevel="0" collapsed="false">
      <c r="A504" s="75"/>
      <c r="B504" s="76"/>
      <c r="C504" s="77"/>
      <c r="D504" s="77"/>
      <c r="E504" s="78"/>
      <c r="F504" s="77"/>
      <c r="G504" s="77"/>
      <c r="H504" s="79" t="n">
        <f aca="false">N(H503)+IFERROR(IF(AND($A504&lt;&gt;"",$E504&lt;&gt;"",$A504&gt;=IF(Search!$E$4="",0,Search!$E$4),$A504&lt;=IF(Search!$E$5="",99999,Search!$E$5),OR(Search!$E$6="",ISNUMBER(SEARCH(Search!$E$6,$C504))),OR(Search!$E$7="All",Search!$E$7="",$D504=Search!$E$7),OR(Search!$E$8="",Search!$E$9="",AND($B504&lt;&gt;"",MOD($B504,1)&gt;=Search!$E$8,MOD($B504,1)&lt;=Search!$E$9))),1,0),0)</f>
        <v>0</v>
      </c>
      <c r="I504" s="79" t="n">
        <f aca="false">IF(H504&gt;N(H503),$E504,0)</f>
        <v>0</v>
      </c>
      <c r="J504" s="79" t="n">
        <f aca="false">IFERROR(IF(AND($A504&lt;&gt;"",$E504&lt;&gt;"",$A504&gt;=PeriodStart,$A504&lt;=PeriodEnd),$E504+ROW()/1000000,0),0)</f>
        <v>0</v>
      </c>
    </row>
    <row r="505" customFormat="false" ht="15" hidden="false" customHeight="false" outlineLevel="0" collapsed="false">
      <c r="A505" s="75"/>
      <c r="B505" s="76"/>
      <c r="C505" s="77"/>
      <c r="D505" s="77"/>
      <c r="E505" s="78"/>
      <c r="F505" s="77"/>
      <c r="G505" s="77"/>
      <c r="H505" s="79" t="n">
        <f aca="false">N(H504)+IFERROR(IF(AND($A505&lt;&gt;"",$E505&lt;&gt;"",$A505&gt;=IF(Search!$E$4="",0,Search!$E$4),$A505&lt;=IF(Search!$E$5="",99999,Search!$E$5),OR(Search!$E$6="",ISNUMBER(SEARCH(Search!$E$6,$C505))),OR(Search!$E$7="All",Search!$E$7="",$D505=Search!$E$7),OR(Search!$E$8="",Search!$E$9="",AND($B505&lt;&gt;"",MOD($B505,1)&gt;=Search!$E$8,MOD($B505,1)&lt;=Search!$E$9))),1,0),0)</f>
        <v>0</v>
      </c>
      <c r="I505" s="79" t="n">
        <f aca="false">IF(H505&gt;N(H504),$E505,0)</f>
        <v>0</v>
      </c>
      <c r="J505" s="79" t="n">
        <f aca="false">IFERROR(IF(AND($A505&lt;&gt;"",$E505&lt;&gt;"",$A505&gt;=PeriodStart,$A505&lt;=PeriodEnd),$E505+ROW()/1000000,0),0)</f>
        <v>0</v>
      </c>
    </row>
    <row r="506" customFormat="false" ht="15" hidden="false" customHeight="false" outlineLevel="0" collapsed="false">
      <c r="A506" s="75"/>
      <c r="B506" s="76"/>
      <c r="C506" s="77"/>
      <c r="D506" s="77"/>
      <c r="E506" s="78"/>
      <c r="F506" s="77"/>
      <c r="G506" s="77"/>
      <c r="H506" s="79" t="n">
        <f aca="false">N(H505)+IFERROR(IF(AND($A506&lt;&gt;"",$E506&lt;&gt;"",$A506&gt;=IF(Search!$E$4="",0,Search!$E$4),$A506&lt;=IF(Search!$E$5="",99999,Search!$E$5),OR(Search!$E$6="",ISNUMBER(SEARCH(Search!$E$6,$C506))),OR(Search!$E$7="All",Search!$E$7="",$D506=Search!$E$7),OR(Search!$E$8="",Search!$E$9="",AND($B506&lt;&gt;"",MOD($B506,1)&gt;=Search!$E$8,MOD($B506,1)&lt;=Search!$E$9))),1,0),0)</f>
        <v>0</v>
      </c>
      <c r="I506" s="79" t="n">
        <f aca="false">IF(H506&gt;N(H505),$E506,0)</f>
        <v>0</v>
      </c>
      <c r="J506" s="79" t="n">
        <f aca="false">IFERROR(IF(AND($A506&lt;&gt;"",$E506&lt;&gt;"",$A506&gt;=PeriodStart,$A506&lt;=PeriodEnd),$E506+ROW()/1000000,0),0)</f>
        <v>0</v>
      </c>
    </row>
    <row r="507" customFormat="false" ht="15" hidden="false" customHeight="false" outlineLevel="0" collapsed="false">
      <c r="A507" s="75"/>
      <c r="B507" s="76"/>
      <c r="C507" s="77"/>
      <c r="D507" s="77"/>
      <c r="E507" s="78"/>
      <c r="F507" s="77"/>
      <c r="G507" s="77"/>
      <c r="H507" s="79" t="n">
        <f aca="false">N(H506)+IFERROR(IF(AND($A507&lt;&gt;"",$E507&lt;&gt;"",$A507&gt;=IF(Search!$E$4="",0,Search!$E$4),$A507&lt;=IF(Search!$E$5="",99999,Search!$E$5),OR(Search!$E$6="",ISNUMBER(SEARCH(Search!$E$6,$C507))),OR(Search!$E$7="All",Search!$E$7="",$D507=Search!$E$7),OR(Search!$E$8="",Search!$E$9="",AND($B507&lt;&gt;"",MOD($B507,1)&gt;=Search!$E$8,MOD($B507,1)&lt;=Search!$E$9))),1,0),0)</f>
        <v>0</v>
      </c>
      <c r="I507" s="79" t="n">
        <f aca="false">IF(H507&gt;N(H506),$E507,0)</f>
        <v>0</v>
      </c>
      <c r="J507" s="79" t="n">
        <f aca="false">IFERROR(IF(AND($A507&lt;&gt;"",$E507&lt;&gt;"",$A507&gt;=PeriodStart,$A507&lt;=PeriodEnd),$E507+ROW()/1000000,0),0)</f>
        <v>0</v>
      </c>
    </row>
    <row r="508" customFormat="false" ht="15" hidden="false" customHeight="false" outlineLevel="0" collapsed="false">
      <c r="A508" s="75"/>
      <c r="B508" s="76"/>
      <c r="C508" s="77"/>
      <c r="D508" s="77"/>
      <c r="E508" s="78"/>
      <c r="F508" s="77"/>
      <c r="G508" s="77"/>
      <c r="H508" s="79" t="n">
        <f aca="false">N(H507)+IFERROR(IF(AND($A508&lt;&gt;"",$E508&lt;&gt;"",$A508&gt;=IF(Search!$E$4="",0,Search!$E$4),$A508&lt;=IF(Search!$E$5="",99999,Search!$E$5),OR(Search!$E$6="",ISNUMBER(SEARCH(Search!$E$6,$C508))),OR(Search!$E$7="All",Search!$E$7="",$D508=Search!$E$7),OR(Search!$E$8="",Search!$E$9="",AND($B508&lt;&gt;"",MOD($B508,1)&gt;=Search!$E$8,MOD($B508,1)&lt;=Search!$E$9))),1,0),0)</f>
        <v>0</v>
      </c>
      <c r="I508" s="79" t="n">
        <f aca="false">IF(H508&gt;N(H507),$E508,0)</f>
        <v>0</v>
      </c>
      <c r="J508" s="79" t="n">
        <f aca="false">IFERROR(IF(AND($A508&lt;&gt;"",$E508&lt;&gt;"",$A508&gt;=PeriodStart,$A508&lt;=PeriodEnd),$E508+ROW()/1000000,0),0)</f>
        <v>0</v>
      </c>
    </row>
    <row r="509" customFormat="false" ht="15" hidden="false" customHeight="false" outlineLevel="0" collapsed="false">
      <c r="A509" s="75"/>
      <c r="B509" s="76"/>
      <c r="C509" s="77"/>
      <c r="D509" s="77"/>
      <c r="E509" s="78"/>
      <c r="F509" s="77"/>
      <c r="G509" s="77"/>
      <c r="H509" s="79" t="n">
        <f aca="false">N(H508)+IFERROR(IF(AND($A509&lt;&gt;"",$E509&lt;&gt;"",$A509&gt;=IF(Search!$E$4="",0,Search!$E$4),$A509&lt;=IF(Search!$E$5="",99999,Search!$E$5),OR(Search!$E$6="",ISNUMBER(SEARCH(Search!$E$6,$C509))),OR(Search!$E$7="All",Search!$E$7="",$D509=Search!$E$7),OR(Search!$E$8="",Search!$E$9="",AND($B509&lt;&gt;"",MOD($B509,1)&gt;=Search!$E$8,MOD($B509,1)&lt;=Search!$E$9))),1,0),0)</f>
        <v>0</v>
      </c>
      <c r="I509" s="79" t="n">
        <f aca="false">IF(H509&gt;N(H508),$E509,0)</f>
        <v>0</v>
      </c>
      <c r="J509" s="79" t="n">
        <f aca="false">IFERROR(IF(AND($A509&lt;&gt;"",$E509&lt;&gt;"",$A509&gt;=PeriodStart,$A509&lt;=PeriodEnd),$E509+ROW()/1000000,0),0)</f>
        <v>0</v>
      </c>
    </row>
    <row r="510" customFormat="false" ht="15" hidden="false" customHeight="false" outlineLevel="0" collapsed="false">
      <c r="A510" s="75"/>
      <c r="B510" s="76"/>
      <c r="C510" s="77"/>
      <c r="D510" s="77"/>
      <c r="E510" s="78"/>
      <c r="F510" s="77"/>
      <c r="G510" s="77"/>
      <c r="H510" s="79" t="n">
        <f aca="false">N(H509)+IFERROR(IF(AND($A510&lt;&gt;"",$E510&lt;&gt;"",$A510&gt;=IF(Search!$E$4="",0,Search!$E$4),$A510&lt;=IF(Search!$E$5="",99999,Search!$E$5),OR(Search!$E$6="",ISNUMBER(SEARCH(Search!$E$6,$C510))),OR(Search!$E$7="All",Search!$E$7="",$D510=Search!$E$7),OR(Search!$E$8="",Search!$E$9="",AND($B510&lt;&gt;"",MOD($B510,1)&gt;=Search!$E$8,MOD($B510,1)&lt;=Search!$E$9))),1,0),0)</f>
        <v>0</v>
      </c>
      <c r="I510" s="79" t="n">
        <f aca="false">IF(H510&gt;N(H509),$E510,0)</f>
        <v>0</v>
      </c>
      <c r="J510" s="79" t="n">
        <f aca="false">IFERROR(IF(AND($A510&lt;&gt;"",$E510&lt;&gt;"",$A510&gt;=PeriodStart,$A510&lt;=PeriodEnd),$E510+ROW()/1000000,0),0)</f>
        <v>0</v>
      </c>
    </row>
    <row r="511" customFormat="false" ht="15" hidden="false" customHeight="false" outlineLevel="0" collapsed="false">
      <c r="A511" s="75"/>
      <c r="B511" s="76"/>
      <c r="C511" s="77"/>
      <c r="D511" s="77"/>
      <c r="E511" s="78"/>
      <c r="F511" s="77"/>
      <c r="G511" s="77"/>
      <c r="H511" s="79" t="n">
        <f aca="false">N(H510)+IFERROR(IF(AND($A511&lt;&gt;"",$E511&lt;&gt;"",$A511&gt;=IF(Search!$E$4="",0,Search!$E$4),$A511&lt;=IF(Search!$E$5="",99999,Search!$E$5),OR(Search!$E$6="",ISNUMBER(SEARCH(Search!$E$6,$C511))),OR(Search!$E$7="All",Search!$E$7="",$D511=Search!$E$7),OR(Search!$E$8="",Search!$E$9="",AND($B511&lt;&gt;"",MOD($B511,1)&gt;=Search!$E$8,MOD($B511,1)&lt;=Search!$E$9))),1,0),0)</f>
        <v>0</v>
      </c>
      <c r="I511" s="79" t="n">
        <f aca="false">IF(H511&gt;N(H510),$E511,0)</f>
        <v>0</v>
      </c>
      <c r="J511" s="79" t="n">
        <f aca="false">IFERROR(IF(AND($A511&lt;&gt;"",$E511&lt;&gt;"",$A511&gt;=PeriodStart,$A511&lt;=PeriodEnd),$E511+ROW()/1000000,0),0)</f>
        <v>0</v>
      </c>
    </row>
    <row r="512" customFormat="false" ht="15" hidden="false" customHeight="false" outlineLevel="0" collapsed="false">
      <c r="A512" s="75"/>
      <c r="B512" s="76"/>
      <c r="C512" s="77"/>
      <c r="D512" s="77"/>
      <c r="E512" s="78"/>
      <c r="F512" s="77"/>
      <c r="G512" s="77"/>
      <c r="H512" s="79" t="n">
        <f aca="false">N(H511)+IFERROR(IF(AND($A512&lt;&gt;"",$E512&lt;&gt;"",$A512&gt;=IF(Search!$E$4="",0,Search!$E$4),$A512&lt;=IF(Search!$E$5="",99999,Search!$E$5),OR(Search!$E$6="",ISNUMBER(SEARCH(Search!$E$6,$C512))),OR(Search!$E$7="All",Search!$E$7="",$D512=Search!$E$7),OR(Search!$E$8="",Search!$E$9="",AND($B512&lt;&gt;"",MOD($B512,1)&gt;=Search!$E$8,MOD($B512,1)&lt;=Search!$E$9))),1,0),0)</f>
        <v>0</v>
      </c>
      <c r="I512" s="79" t="n">
        <f aca="false">IF(H512&gt;N(H511),$E512,0)</f>
        <v>0</v>
      </c>
      <c r="J512" s="79" t="n">
        <f aca="false">IFERROR(IF(AND($A512&lt;&gt;"",$E512&lt;&gt;"",$A512&gt;=PeriodStart,$A512&lt;=PeriodEnd),$E512+ROW()/1000000,0),0)</f>
        <v>0</v>
      </c>
    </row>
    <row r="513" customFormat="false" ht="15" hidden="false" customHeight="false" outlineLevel="0" collapsed="false">
      <c r="A513" s="75"/>
      <c r="B513" s="76"/>
      <c r="C513" s="77"/>
      <c r="D513" s="77"/>
      <c r="E513" s="78"/>
      <c r="F513" s="77"/>
      <c r="G513" s="77"/>
      <c r="H513" s="79" t="n">
        <f aca="false">N(H512)+IFERROR(IF(AND($A513&lt;&gt;"",$E513&lt;&gt;"",$A513&gt;=IF(Search!$E$4="",0,Search!$E$4),$A513&lt;=IF(Search!$E$5="",99999,Search!$E$5),OR(Search!$E$6="",ISNUMBER(SEARCH(Search!$E$6,$C513))),OR(Search!$E$7="All",Search!$E$7="",$D513=Search!$E$7),OR(Search!$E$8="",Search!$E$9="",AND($B513&lt;&gt;"",MOD($B513,1)&gt;=Search!$E$8,MOD($B513,1)&lt;=Search!$E$9))),1,0),0)</f>
        <v>0</v>
      </c>
      <c r="I513" s="79" t="n">
        <f aca="false">IF(H513&gt;N(H512),$E513,0)</f>
        <v>0</v>
      </c>
      <c r="J513" s="79" t="n">
        <f aca="false">IFERROR(IF(AND($A513&lt;&gt;"",$E513&lt;&gt;"",$A513&gt;=PeriodStart,$A513&lt;=PeriodEnd),$E513+ROW()/1000000,0),0)</f>
        <v>0</v>
      </c>
    </row>
    <row r="514" customFormat="false" ht="15" hidden="false" customHeight="false" outlineLevel="0" collapsed="false">
      <c r="A514" s="75"/>
      <c r="B514" s="76"/>
      <c r="C514" s="77"/>
      <c r="D514" s="77"/>
      <c r="E514" s="78"/>
      <c r="F514" s="77"/>
      <c r="G514" s="77"/>
      <c r="H514" s="79" t="n">
        <f aca="false">N(H513)+IFERROR(IF(AND($A514&lt;&gt;"",$E514&lt;&gt;"",$A514&gt;=IF(Search!$E$4="",0,Search!$E$4),$A514&lt;=IF(Search!$E$5="",99999,Search!$E$5),OR(Search!$E$6="",ISNUMBER(SEARCH(Search!$E$6,$C514))),OR(Search!$E$7="All",Search!$E$7="",$D514=Search!$E$7),OR(Search!$E$8="",Search!$E$9="",AND($B514&lt;&gt;"",MOD($B514,1)&gt;=Search!$E$8,MOD($B514,1)&lt;=Search!$E$9))),1,0),0)</f>
        <v>0</v>
      </c>
      <c r="I514" s="79" t="n">
        <f aca="false">IF(H514&gt;N(H513),$E514,0)</f>
        <v>0</v>
      </c>
      <c r="J514" s="79" t="n">
        <f aca="false">IFERROR(IF(AND($A514&lt;&gt;"",$E514&lt;&gt;"",$A514&gt;=PeriodStart,$A514&lt;=PeriodEnd),$E514+ROW()/1000000,0),0)</f>
        <v>0</v>
      </c>
    </row>
    <row r="515" customFormat="false" ht="15" hidden="false" customHeight="false" outlineLevel="0" collapsed="false">
      <c r="A515" s="75"/>
      <c r="B515" s="76"/>
      <c r="C515" s="77"/>
      <c r="D515" s="77"/>
      <c r="E515" s="78"/>
      <c r="F515" s="77"/>
      <c r="G515" s="77"/>
      <c r="H515" s="79" t="n">
        <f aca="false">N(H514)+IFERROR(IF(AND($A515&lt;&gt;"",$E515&lt;&gt;"",$A515&gt;=IF(Search!$E$4="",0,Search!$E$4),$A515&lt;=IF(Search!$E$5="",99999,Search!$E$5),OR(Search!$E$6="",ISNUMBER(SEARCH(Search!$E$6,$C515))),OR(Search!$E$7="All",Search!$E$7="",$D515=Search!$E$7),OR(Search!$E$8="",Search!$E$9="",AND($B515&lt;&gt;"",MOD($B515,1)&gt;=Search!$E$8,MOD($B515,1)&lt;=Search!$E$9))),1,0),0)</f>
        <v>0</v>
      </c>
      <c r="I515" s="79" t="n">
        <f aca="false">IF(H515&gt;N(H514),$E515,0)</f>
        <v>0</v>
      </c>
      <c r="J515" s="79" t="n">
        <f aca="false">IFERROR(IF(AND($A515&lt;&gt;"",$E515&lt;&gt;"",$A515&gt;=PeriodStart,$A515&lt;=PeriodEnd),$E515+ROW()/1000000,0),0)</f>
        <v>0</v>
      </c>
    </row>
    <row r="516" customFormat="false" ht="15" hidden="false" customHeight="false" outlineLevel="0" collapsed="false">
      <c r="A516" s="75"/>
      <c r="B516" s="76"/>
      <c r="C516" s="77"/>
      <c r="D516" s="77"/>
      <c r="E516" s="78"/>
      <c r="F516" s="77"/>
      <c r="G516" s="77"/>
      <c r="H516" s="79" t="n">
        <f aca="false">N(H515)+IFERROR(IF(AND($A516&lt;&gt;"",$E516&lt;&gt;"",$A516&gt;=IF(Search!$E$4="",0,Search!$E$4),$A516&lt;=IF(Search!$E$5="",99999,Search!$E$5),OR(Search!$E$6="",ISNUMBER(SEARCH(Search!$E$6,$C516))),OR(Search!$E$7="All",Search!$E$7="",$D516=Search!$E$7),OR(Search!$E$8="",Search!$E$9="",AND($B516&lt;&gt;"",MOD($B516,1)&gt;=Search!$E$8,MOD($B516,1)&lt;=Search!$E$9))),1,0),0)</f>
        <v>0</v>
      </c>
      <c r="I516" s="79" t="n">
        <f aca="false">IF(H516&gt;N(H515),$E516,0)</f>
        <v>0</v>
      </c>
      <c r="J516" s="79" t="n">
        <f aca="false">IFERROR(IF(AND($A516&lt;&gt;"",$E516&lt;&gt;"",$A516&gt;=PeriodStart,$A516&lt;=PeriodEnd),$E516+ROW()/1000000,0),0)</f>
        <v>0</v>
      </c>
    </row>
    <row r="517" customFormat="false" ht="15" hidden="false" customHeight="false" outlineLevel="0" collapsed="false">
      <c r="A517" s="75"/>
      <c r="B517" s="76"/>
      <c r="C517" s="77"/>
      <c r="D517" s="77"/>
      <c r="E517" s="78"/>
      <c r="F517" s="77"/>
      <c r="G517" s="77"/>
      <c r="H517" s="79" t="n">
        <f aca="false">N(H516)+IFERROR(IF(AND($A517&lt;&gt;"",$E517&lt;&gt;"",$A517&gt;=IF(Search!$E$4="",0,Search!$E$4),$A517&lt;=IF(Search!$E$5="",99999,Search!$E$5),OR(Search!$E$6="",ISNUMBER(SEARCH(Search!$E$6,$C517))),OR(Search!$E$7="All",Search!$E$7="",$D517=Search!$E$7),OR(Search!$E$8="",Search!$E$9="",AND($B517&lt;&gt;"",MOD($B517,1)&gt;=Search!$E$8,MOD($B517,1)&lt;=Search!$E$9))),1,0),0)</f>
        <v>0</v>
      </c>
      <c r="I517" s="79" t="n">
        <f aca="false">IF(H517&gt;N(H516),$E517,0)</f>
        <v>0</v>
      </c>
      <c r="J517" s="79" t="n">
        <f aca="false">IFERROR(IF(AND($A517&lt;&gt;"",$E517&lt;&gt;"",$A517&gt;=PeriodStart,$A517&lt;=PeriodEnd),$E517+ROW()/1000000,0),0)</f>
        <v>0</v>
      </c>
    </row>
    <row r="518" customFormat="false" ht="15" hidden="false" customHeight="false" outlineLevel="0" collapsed="false">
      <c r="A518" s="75"/>
      <c r="B518" s="76"/>
      <c r="C518" s="77"/>
      <c r="D518" s="77"/>
      <c r="E518" s="78"/>
      <c r="F518" s="77"/>
      <c r="G518" s="77"/>
      <c r="H518" s="79" t="n">
        <f aca="false">N(H517)+IFERROR(IF(AND($A518&lt;&gt;"",$E518&lt;&gt;"",$A518&gt;=IF(Search!$E$4="",0,Search!$E$4),$A518&lt;=IF(Search!$E$5="",99999,Search!$E$5),OR(Search!$E$6="",ISNUMBER(SEARCH(Search!$E$6,$C518))),OR(Search!$E$7="All",Search!$E$7="",$D518=Search!$E$7),OR(Search!$E$8="",Search!$E$9="",AND($B518&lt;&gt;"",MOD($B518,1)&gt;=Search!$E$8,MOD($B518,1)&lt;=Search!$E$9))),1,0),0)</f>
        <v>0</v>
      </c>
      <c r="I518" s="79" t="n">
        <f aca="false">IF(H518&gt;N(H517),$E518,0)</f>
        <v>0</v>
      </c>
      <c r="J518" s="79" t="n">
        <f aca="false">IFERROR(IF(AND($A518&lt;&gt;"",$E518&lt;&gt;"",$A518&gt;=PeriodStart,$A518&lt;=PeriodEnd),$E518+ROW()/1000000,0),0)</f>
        <v>0</v>
      </c>
    </row>
    <row r="519" customFormat="false" ht="15" hidden="false" customHeight="false" outlineLevel="0" collapsed="false">
      <c r="A519" s="75"/>
      <c r="B519" s="76"/>
      <c r="C519" s="77"/>
      <c r="D519" s="77"/>
      <c r="E519" s="78"/>
      <c r="F519" s="77"/>
      <c r="G519" s="77"/>
      <c r="H519" s="79" t="n">
        <f aca="false">N(H518)+IFERROR(IF(AND($A519&lt;&gt;"",$E519&lt;&gt;"",$A519&gt;=IF(Search!$E$4="",0,Search!$E$4),$A519&lt;=IF(Search!$E$5="",99999,Search!$E$5),OR(Search!$E$6="",ISNUMBER(SEARCH(Search!$E$6,$C519))),OR(Search!$E$7="All",Search!$E$7="",$D519=Search!$E$7),OR(Search!$E$8="",Search!$E$9="",AND($B519&lt;&gt;"",MOD($B519,1)&gt;=Search!$E$8,MOD($B519,1)&lt;=Search!$E$9))),1,0),0)</f>
        <v>0</v>
      </c>
      <c r="I519" s="79" t="n">
        <f aca="false">IF(H519&gt;N(H518),$E519,0)</f>
        <v>0</v>
      </c>
      <c r="J519" s="79" t="n">
        <f aca="false">IFERROR(IF(AND($A519&lt;&gt;"",$E519&lt;&gt;"",$A519&gt;=PeriodStart,$A519&lt;=PeriodEnd),$E519+ROW()/1000000,0),0)</f>
        <v>0</v>
      </c>
    </row>
    <row r="520" customFormat="false" ht="15" hidden="false" customHeight="false" outlineLevel="0" collapsed="false">
      <c r="A520" s="75"/>
      <c r="B520" s="76"/>
      <c r="C520" s="77"/>
      <c r="D520" s="77"/>
      <c r="E520" s="78"/>
      <c r="F520" s="77"/>
      <c r="G520" s="77"/>
      <c r="H520" s="79" t="n">
        <f aca="false">N(H519)+IFERROR(IF(AND($A520&lt;&gt;"",$E520&lt;&gt;"",$A520&gt;=IF(Search!$E$4="",0,Search!$E$4),$A520&lt;=IF(Search!$E$5="",99999,Search!$E$5),OR(Search!$E$6="",ISNUMBER(SEARCH(Search!$E$6,$C520))),OR(Search!$E$7="All",Search!$E$7="",$D520=Search!$E$7),OR(Search!$E$8="",Search!$E$9="",AND($B520&lt;&gt;"",MOD($B520,1)&gt;=Search!$E$8,MOD($B520,1)&lt;=Search!$E$9))),1,0),0)</f>
        <v>0</v>
      </c>
      <c r="I520" s="79" t="n">
        <f aca="false">IF(H520&gt;N(H519),$E520,0)</f>
        <v>0</v>
      </c>
      <c r="J520" s="79" t="n">
        <f aca="false">IFERROR(IF(AND($A520&lt;&gt;"",$E520&lt;&gt;"",$A520&gt;=PeriodStart,$A520&lt;=PeriodEnd),$E520+ROW()/1000000,0),0)</f>
        <v>0</v>
      </c>
    </row>
    <row r="521" customFormat="false" ht="15" hidden="false" customHeight="false" outlineLevel="0" collapsed="false">
      <c r="A521" s="75"/>
      <c r="B521" s="76"/>
      <c r="C521" s="77"/>
      <c r="D521" s="77"/>
      <c r="E521" s="78"/>
      <c r="F521" s="77"/>
      <c r="G521" s="77"/>
      <c r="H521" s="79" t="n">
        <f aca="false">N(H520)+IFERROR(IF(AND($A521&lt;&gt;"",$E521&lt;&gt;"",$A521&gt;=IF(Search!$E$4="",0,Search!$E$4),$A521&lt;=IF(Search!$E$5="",99999,Search!$E$5),OR(Search!$E$6="",ISNUMBER(SEARCH(Search!$E$6,$C521))),OR(Search!$E$7="All",Search!$E$7="",$D521=Search!$E$7),OR(Search!$E$8="",Search!$E$9="",AND($B521&lt;&gt;"",MOD($B521,1)&gt;=Search!$E$8,MOD($B521,1)&lt;=Search!$E$9))),1,0),0)</f>
        <v>0</v>
      </c>
      <c r="I521" s="79" t="n">
        <f aca="false">IF(H521&gt;N(H520),$E521,0)</f>
        <v>0</v>
      </c>
      <c r="J521" s="79" t="n">
        <f aca="false">IFERROR(IF(AND($A521&lt;&gt;"",$E521&lt;&gt;"",$A521&gt;=PeriodStart,$A521&lt;=PeriodEnd),$E521+ROW()/1000000,0),0)</f>
        <v>0</v>
      </c>
    </row>
    <row r="522" customFormat="false" ht="15" hidden="false" customHeight="false" outlineLevel="0" collapsed="false">
      <c r="A522" s="75"/>
      <c r="B522" s="76"/>
      <c r="C522" s="77"/>
      <c r="D522" s="77"/>
      <c r="E522" s="78"/>
      <c r="F522" s="77"/>
      <c r="G522" s="77"/>
      <c r="H522" s="79" t="n">
        <f aca="false">N(H521)+IFERROR(IF(AND($A522&lt;&gt;"",$E522&lt;&gt;"",$A522&gt;=IF(Search!$E$4="",0,Search!$E$4),$A522&lt;=IF(Search!$E$5="",99999,Search!$E$5),OR(Search!$E$6="",ISNUMBER(SEARCH(Search!$E$6,$C522))),OR(Search!$E$7="All",Search!$E$7="",$D522=Search!$E$7),OR(Search!$E$8="",Search!$E$9="",AND($B522&lt;&gt;"",MOD($B522,1)&gt;=Search!$E$8,MOD($B522,1)&lt;=Search!$E$9))),1,0),0)</f>
        <v>0</v>
      </c>
      <c r="I522" s="79" t="n">
        <f aca="false">IF(H522&gt;N(H521),$E522,0)</f>
        <v>0</v>
      </c>
      <c r="J522" s="79" t="n">
        <f aca="false">IFERROR(IF(AND($A522&lt;&gt;"",$E522&lt;&gt;"",$A522&gt;=PeriodStart,$A522&lt;=PeriodEnd),$E522+ROW()/1000000,0),0)</f>
        <v>0</v>
      </c>
    </row>
    <row r="523" customFormat="false" ht="15" hidden="false" customHeight="false" outlineLevel="0" collapsed="false">
      <c r="A523" s="75"/>
      <c r="B523" s="76"/>
      <c r="C523" s="77"/>
      <c r="D523" s="77"/>
      <c r="E523" s="78"/>
      <c r="F523" s="77"/>
      <c r="G523" s="77"/>
      <c r="H523" s="79" t="n">
        <f aca="false">N(H522)+IFERROR(IF(AND($A523&lt;&gt;"",$E523&lt;&gt;"",$A523&gt;=IF(Search!$E$4="",0,Search!$E$4),$A523&lt;=IF(Search!$E$5="",99999,Search!$E$5),OR(Search!$E$6="",ISNUMBER(SEARCH(Search!$E$6,$C523))),OR(Search!$E$7="All",Search!$E$7="",$D523=Search!$E$7),OR(Search!$E$8="",Search!$E$9="",AND($B523&lt;&gt;"",MOD($B523,1)&gt;=Search!$E$8,MOD($B523,1)&lt;=Search!$E$9))),1,0),0)</f>
        <v>0</v>
      </c>
      <c r="I523" s="79" t="n">
        <f aca="false">IF(H523&gt;N(H522),$E523,0)</f>
        <v>0</v>
      </c>
      <c r="J523" s="79" t="n">
        <f aca="false">IFERROR(IF(AND($A523&lt;&gt;"",$E523&lt;&gt;"",$A523&gt;=PeriodStart,$A523&lt;=PeriodEnd),$E523+ROW()/1000000,0),0)</f>
        <v>0</v>
      </c>
    </row>
    <row r="524" customFormat="false" ht="15" hidden="false" customHeight="false" outlineLevel="0" collapsed="false">
      <c r="A524" s="75"/>
      <c r="B524" s="76"/>
      <c r="C524" s="77"/>
      <c r="D524" s="77"/>
      <c r="E524" s="78"/>
      <c r="F524" s="77"/>
      <c r="G524" s="77"/>
      <c r="H524" s="79" t="n">
        <f aca="false">N(H523)+IFERROR(IF(AND($A524&lt;&gt;"",$E524&lt;&gt;"",$A524&gt;=IF(Search!$E$4="",0,Search!$E$4),$A524&lt;=IF(Search!$E$5="",99999,Search!$E$5),OR(Search!$E$6="",ISNUMBER(SEARCH(Search!$E$6,$C524))),OR(Search!$E$7="All",Search!$E$7="",$D524=Search!$E$7),OR(Search!$E$8="",Search!$E$9="",AND($B524&lt;&gt;"",MOD($B524,1)&gt;=Search!$E$8,MOD($B524,1)&lt;=Search!$E$9))),1,0),0)</f>
        <v>0</v>
      </c>
      <c r="I524" s="79" t="n">
        <f aca="false">IF(H524&gt;N(H523),$E524,0)</f>
        <v>0</v>
      </c>
      <c r="J524" s="79" t="n">
        <f aca="false">IFERROR(IF(AND($A524&lt;&gt;"",$E524&lt;&gt;"",$A524&gt;=PeriodStart,$A524&lt;=PeriodEnd),$E524+ROW()/1000000,0),0)</f>
        <v>0</v>
      </c>
    </row>
    <row r="525" customFormat="false" ht="15" hidden="false" customHeight="false" outlineLevel="0" collapsed="false">
      <c r="A525" s="75"/>
      <c r="B525" s="76"/>
      <c r="C525" s="77"/>
      <c r="D525" s="77"/>
      <c r="E525" s="78"/>
      <c r="F525" s="77"/>
      <c r="G525" s="77"/>
      <c r="H525" s="79" t="n">
        <f aca="false">N(H524)+IFERROR(IF(AND($A525&lt;&gt;"",$E525&lt;&gt;"",$A525&gt;=IF(Search!$E$4="",0,Search!$E$4),$A525&lt;=IF(Search!$E$5="",99999,Search!$E$5),OR(Search!$E$6="",ISNUMBER(SEARCH(Search!$E$6,$C525))),OR(Search!$E$7="All",Search!$E$7="",$D525=Search!$E$7),OR(Search!$E$8="",Search!$E$9="",AND($B525&lt;&gt;"",MOD($B525,1)&gt;=Search!$E$8,MOD($B525,1)&lt;=Search!$E$9))),1,0),0)</f>
        <v>0</v>
      </c>
      <c r="I525" s="79" t="n">
        <f aca="false">IF(H525&gt;N(H524),$E525,0)</f>
        <v>0</v>
      </c>
      <c r="J525" s="79" t="n">
        <f aca="false">IFERROR(IF(AND($A525&lt;&gt;"",$E525&lt;&gt;"",$A525&gt;=PeriodStart,$A525&lt;=PeriodEnd),$E525+ROW()/1000000,0),0)</f>
        <v>0</v>
      </c>
    </row>
    <row r="526" customFormat="false" ht="15" hidden="false" customHeight="false" outlineLevel="0" collapsed="false">
      <c r="A526" s="75"/>
      <c r="B526" s="76"/>
      <c r="C526" s="77"/>
      <c r="D526" s="77"/>
      <c r="E526" s="78"/>
      <c r="F526" s="77"/>
      <c r="G526" s="77"/>
      <c r="H526" s="79" t="n">
        <f aca="false">N(H525)+IFERROR(IF(AND($A526&lt;&gt;"",$E526&lt;&gt;"",$A526&gt;=IF(Search!$E$4="",0,Search!$E$4),$A526&lt;=IF(Search!$E$5="",99999,Search!$E$5),OR(Search!$E$6="",ISNUMBER(SEARCH(Search!$E$6,$C526))),OR(Search!$E$7="All",Search!$E$7="",$D526=Search!$E$7),OR(Search!$E$8="",Search!$E$9="",AND($B526&lt;&gt;"",MOD($B526,1)&gt;=Search!$E$8,MOD($B526,1)&lt;=Search!$E$9))),1,0),0)</f>
        <v>0</v>
      </c>
      <c r="I526" s="79" t="n">
        <f aca="false">IF(H526&gt;N(H525),$E526,0)</f>
        <v>0</v>
      </c>
      <c r="J526" s="79" t="n">
        <f aca="false">IFERROR(IF(AND($A526&lt;&gt;"",$E526&lt;&gt;"",$A526&gt;=PeriodStart,$A526&lt;=PeriodEnd),$E526+ROW()/1000000,0),0)</f>
        <v>0</v>
      </c>
    </row>
    <row r="527" customFormat="false" ht="15" hidden="false" customHeight="false" outlineLevel="0" collapsed="false">
      <c r="A527" s="75"/>
      <c r="B527" s="76"/>
      <c r="C527" s="77"/>
      <c r="D527" s="77"/>
      <c r="E527" s="78"/>
      <c r="F527" s="77"/>
      <c r="G527" s="77"/>
      <c r="H527" s="79" t="n">
        <f aca="false">N(H526)+IFERROR(IF(AND($A527&lt;&gt;"",$E527&lt;&gt;"",$A527&gt;=IF(Search!$E$4="",0,Search!$E$4),$A527&lt;=IF(Search!$E$5="",99999,Search!$E$5),OR(Search!$E$6="",ISNUMBER(SEARCH(Search!$E$6,$C527))),OR(Search!$E$7="All",Search!$E$7="",$D527=Search!$E$7),OR(Search!$E$8="",Search!$E$9="",AND($B527&lt;&gt;"",MOD($B527,1)&gt;=Search!$E$8,MOD($B527,1)&lt;=Search!$E$9))),1,0),0)</f>
        <v>0</v>
      </c>
      <c r="I527" s="79" t="n">
        <f aca="false">IF(H527&gt;N(H526),$E527,0)</f>
        <v>0</v>
      </c>
      <c r="J527" s="79" t="n">
        <f aca="false">IFERROR(IF(AND($A527&lt;&gt;"",$E527&lt;&gt;"",$A527&gt;=PeriodStart,$A527&lt;=PeriodEnd),$E527+ROW()/1000000,0),0)</f>
        <v>0</v>
      </c>
    </row>
    <row r="528" customFormat="false" ht="15" hidden="false" customHeight="false" outlineLevel="0" collapsed="false">
      <c r="A528" s="75"/>
      <c r="B528" s="76"/>
      <c r="C528" s="77"/>
      <c r="D528" s="77"/>
      <c r="E528" s="78"/>
      <c r="F528" s="77"/>
      <c r="G528" s="77"/>
      <c r="H528" s="79" t="n">
        <f aca="false">N(H527)+IFERROR(IF(AND($A528&lt;&gt;"",$E528&lt;&gt;"",$A528&gt;=IF(Search!$E$4="",0,Search!$E$4),$A528&lt;=IF(Search!$E$5="",99999,Search!$E$5),OR(Search!$E$6="",ISNUMBER(SEARCH(Search!$E$6,$C528))),OR(Search!$E$7="All",Search!$E$7="",$D528=Search!$E$7),OR(Search!$E$8="",Search!$E$9="",AND($B528&lt;&gt;"",MOD($B528,1)&gt;=Search!$E$8,MOD($B528,1)&lt;=Search!$E$9))),1,0),0)</f>
        <v>0</v>
      </c>
      <c r="I528" s="79" t="n">
        <f aca="false">IF(H528&gt;N(H527),$E528,0)</f>
        <v>0</v>
      </c>
      <c r="J528" s="79" t="n">
        <f aca="false">IFERROR(IF(AND($A528&lt;&gt;"",$E528&lt;&gt;"",$A528&gt;=PeriodStart,$A528&lt;=PeriodEnd),$E528+ROW()/1000000,0),0)</f>
        <v>0</v>
      </c>
    </row>
    <row r="529" customFormat="false" ht="15" hidden="false" customHeight="false" outlineLevel="0" collapsed="false">
      <c r="A529" s="75"/>
      <c r="B529" s="76"/>
      <c r="C529" s="77"/>
      <c r="D529" s="77"/>
      <c r="E529" s="78"/>
      <c r="F529" s="77"/>
      <c r="G529" s="77"/>
      <c r="H529" s="79" t="n">
        <f aca="false">N(H528)+IFERROR(IF(AND($A529&lt;&gt;"",$E529&lt;&gt;"",$A529&gt;=IF(Search!$E$4="",0,Search!$E$4),$A529&lt;=IF(Search!$E$5="",99999,Search!$E$5),OR(Search!$E$6="",ISNUMBER(SEARCH(Search!$E$6,$C529))),OR(Search!$E$7="All",Search!$E$7="",$D529=Search!$E$7),OR(Search!$E$8="",Search!$E$9="",AND($B529&lt;&gt;"",MOD($B529,1)&gt;=Search!$E$8,MOD($B529,1)&lt;=Search!$E$9))),1,0),0)</f>
        <v>0</v>
      </c>
      <c r="I529" s="79" t="n">
        <f aca="false">IF(H529&gt;N(H528),$E529,0)</f>
        <v>0</v>
      </c>
      <c r="J529" s="79" t="n">
        <f aca="false">IFERROR(IF(AND($A529&lt;&gt;"",$E529&lt;&gt;"",$A529&gt;=PeriodStart,$A529&lt;=PeriodEnd),$E529+ROW()/1000000,0),0)</f>
        <v>0</v>
      </c>
    </row>
    <row r="530" customFormat="false" ht="15" hidden="false" customHeight="false" outlineLevel="0" collapsed="false">
      <c r="A530" s="75"/>
      <c r="B530" s="76"/>
      <c r="C530" s="77"/>
      <c r="D530" s="77"/>
      <c r="E530" s="78"/>
      <c r="F530" s="77"/>
      <c r="G530" s="77"/>
      <c r="H530" s="79" t="n">
        <f aca="false">N(H529)+IFERROR(IF(AND($A530&lt;&gt;"",$E530&lt;&gt;"",$A530&gt;=IF(Search!$E$4="",0,Search!$E$4),$A530&lt;=IF(Search!$E$5="",99999,Search!$E$5),OR(Search!$E$6="",ISNUMBER(SEARCH(Search!$E$6,$C530))),OR(Search!$E$7="All",Search!$E$7="",$D530=Search!$E$7),OR(Search!$E$8="",Search!$E$9="",AND($B530&lt;&gt;"",MOD($B530,1)&gt;=Search!$E$8,MOD($B530,1)&lt;=Search!$E$9))),1,0),0)</f>
        <v>0</v>
      </c>
      <c r="I530" s="79" t="n">
        <f aca="false">IF(H530&gt;N(H529),$E530,0)</f>
        <v>0</v>
      </c>
      <c r="J530" s="79" t="n">
        <f aca="false">IFERROR(IF(AND($A530&lt;&gt;"",$E530&lt;&gt;"",$A530&gt;=PeriodStart,$A530&lt;=PeriodEnd),$E530+ROW()/1000000,0),0)</f>
        <v>0</v>
      </c>
    </row>
    <row r="531" customFormat="false" ht="15" hidden="false" customHeight="false" outlineLevel="0" collapsed="false">
      <c r="A531" s="75"/>
      <c r="B531" s="76"/>
      <c r="C531" s="77"/>
      <c r="D531" s="77"/>
      <c r="E531" s="78"/>
      <c r="F531" s="77"/>
      <c r="G531" s="77"/>
      <c r="H531" s="79" t="n">
        <f aca="false">N(H530)+IFERROR(IF(AND($A531&lt;&gt;"",$E531&lt;&gt;"",$A531&gt;=IF(Search!$E$4="",0,Search!$E$4),$A531&lt;=IF(Search!$E$5="",99999,Search!$E$5),OR(Search!$E$6="",ISNUMBER(SEARCH(Search!$E$6,$C531))),OR(Search!$E$7="All",Search!$E$7="",$D531=Search!$E$7),OR(Search!$E$8="",Search!$E$9="",AND($B531&lt;&gt;"",MOD($B531,1)&gt;=Search!$E$8,MOD($B531,1)&lt;=Search!$E$9))),1,0),0)</f>
        <v>0</v>
      </c>
      <c r="I531" s="79" t="n">
        <f aca="false">IF(H531&gt;N(H530),$E531,0)</f>
        <v>0</v>
      </c>
      <c r="J531" s="79" t="n">
        <f aca="false">IFERROR(IF(AND($A531&lt;&gt;"",$E531&lt;&gt;"",$A531&gt;=PeriodStart,$A531&lt;=PeriodEnd),$E531+ROW()/1000000,0),0)</f>
        <v>0</v>
      </c>
    </row>
    <row r="532" customFormat="false" ht="15" hidden="false" customHeight="false" outlineLevel="0" collapsed="false">
      <c r="A532" s="75"/>
      <c r="B532" s="76"/>
      <c r="C532" s="77"/>
      <c r="D532" s="77"/>
      <c r="E532" s="78"/>
      <c r="F532" s="77"/>
      <c r="G532" s="77"/>
      <c r="H532" s="79" t="n">
        <f aca="false">N(H531)+IFERROR(IF(AND($A532&lt;&gt;"",$E532&lt;&gt;"",$A532&gt;=IF(Search!$E$4="",0,Search!$E$4),$A532&lt;=IF(Search!$E$5="",99999,Search!$E$5),OR(Search!$E$6="",ISNUMBER(SEARCH(Search!$E$6,$C532))),OR(Search!$E$7="All",Search!$E$7="",$D532=Search!$E$7),OR(Search!$E$8="",Search!$E$9="",AND($B532&lt;&gt;"",MOD($B532,1)&gt;=Search!$E$8,MOD($B532,1)&lt;=Search!$E$9))),1,0),0)</f>
        <v>0</v>
      </c>
      <c r="I532" s="79" t="n">
        <f aca="false">IF(H532&gt;N(H531),$E532,0)</f>
        <v>0</v>
      </c>
      <c r="J532" s="79" t="n">
        <f aca="false">IFERROR(IF(AND($A532&lt;&gt;"",$E532&lt;&gt;"",$A532&gt;=PeriodStart,$A532&lt;=PeriodEnd),$E532+ROW()/1000000,0),0)</f>
        <v>0</v>
      </c>
    </row>
    <row r="533" customFormat="false" ht="15" hidden="false" customHeight="false" outlineLevel="0" collapsed="false">
      <c r="A533" s="75"/>
      <c r="B533" s="76"/>
      <c r="C533" s="77"/>
      <c r="D533" s="77"/>
      <c r="E533" s="78"/>
      <c r="F533" s="77"/>
      <c r="G533" s="77"/>
      <c r="H533" s="79" t="n">
        <f aca="false">N(H532)+IFERROR(IF(AND($A533&lt;&gt;"",$E533&lt;&gt;"",$A533&gt;=IF(Search!$E$4="",0,Search!$E$4),$A533&lt;=IF(Search!$E$5="",99999,Search!$E$5),OR(Search!$E$6="",ISNUMBER(SEARCH(Search!$E$6,$C533))),OR(Search!$E$7="All",Search!$E$7="",$D533=Search!$E$7),OR(Search!$E$8="",Search!$E$9="",AND($B533&lt;&gt;"",MOD($B533,1)&gt;=Search!$E$8,MOD($B533,1)&lt;=Search!$E$9))),1,0),0)</f>
        <v>0</v>
      </c>
      <c r="I533" s="79" t="n">
        <f aca="false">IF(H533&gt;N(H532),$E533,0)</f>
        <v>0</v>
      </c>
      <c r="J533" s="79" t="n">
        <f aca="false">IFERROR(IF(AND($A533&lt;&gt;"",$E533&lt;&gt;"",$A533&gt;=PeriodStart,$A533&lt;=PeriodEnd),$E533+ROW()/1000000,0),0)</f>
        <v>0</v>
      </c>
    </row>
    <row r="534" customFormat="false" ht="15" hidden="false" customHeight="false" outlineLevel="0" collapsed="false">
      <c r="A534" s="75"/>
      <c r="B534" s="76"/>
      <c r="C534" s="77"/>
      <c r="D534" s="77"/>
      <c r="E534" s="78"/>
      <c r="F534" s="77"/>
      <c r="G534" s="77"/>
      <c r="H534" s="79" t="n">
        <f aca="false">N(H533)+IFERROR(IF(AND($A534&lt;&gt;"",$E534&lt;&gt;"",$A534&gt;=IF(Search!$E$4="",0,Search!$E$4),$A534&lt;=IF(Search!$E$5="",99999,Search!$E$5),OR(Search!$E$6="",ISNUMBER(SEARCH(Search!$E$6,$C534))),OR(Search!$E$7="All",Search!$E$7="",$D534=Search!$E$7),OR(Search!$E$8="",Search!$E$9="",AND($B534&lt;&gt;"",MOD($B534,1)&gt;=Search!$E$8,MOD($B534,1)&lt;=Search!$E$9))),1,0),0)</f>
        <v>0</v>
      </c>
      <c r="I534" s="79" t="n">
        <f aca="false">IF(H534&gt;N(H533),$E534,0)</f>
        <v>0</v>
      </c>
      <c r="J534" s="79" t="n">
        <f aca="false">IFERROR(IF(AND($A534&lt;&gt;"",$E534&lt;&gt;"",$A534&gt;=PeriodStart,$A534&lt;=PeriodEnd),$E534+ROW()/1000000,0),0)</f>
        <v>0</v>
      </c>
    </row>
    <row r="535" customFormat="false" ht="15" hidden="false" customHeight="false" outlineLevel="0" collapsed="false">
      <c r="A535" s="75"/>
      <c r="B535" s="76"/>
      <c r="C535" s="77"/>
      <c r="D535" s="77"/>
      <c r="E535" s="78"/>
      <c r="F535" s="77"/>
      <c r="G535" s="77"/>
      <c r="H535" s="79" t="n">
        <f aca="false">N(H534)+IFERROR(IF(AND($A535&lt;&gt;"",$E535&lt;&gt;"",$A535&gt;=IF(Search!$E$4="",0,Search!$E$4),$A535&lt;=IF(Search!$E$5="",99999,Search!$E$5),OR(Search!$E$6="",ISNUMBER(SEARCH(Search!$E$6,$C535))),OR(Search!$E$7="All",Search!$E$7="",$D535=Search!$E$7),OR(Search!$E$8="",Search!$E$9="",AND($B535&lt;&gt;"",MOD($B535,1)&gt;=Search!$E$8,MOD($B535,1)&lt;=Search!$E$9))),1,0),0)</f>
        <v>0</v>
      </c>
      <c r="I535" s="79" t="n">
        <f aca="false">IF(H535&gt;N(H534),$E535,0)</f>
        <v>0</v>
      </c>
      <c r="J535" s="79" t="n">
        <f aca="false">IFERROR(IF(AND($A535&lt;&gt;"",$E535&lt;&gt;"",$A535&gt;=PeriodStart,$A535&lt;=PeriodEnd),$E535+ROW()/1000000,0),0)</f>
        <v>0</v>
      </c>
    </row>
    <row r="536" customFormat="false" ht="15" hidden="false" customHeight="false" outlineLevel="0" collapsed="false">
      <c r="A536" s="75"/>
      <c r="B536" s="76"/>
      <c r="C536" s="77"/>
      <c r="D536" s="77"/>
      <c r="E536" s="78"/>
      <c r="F536" s="77"/>
      <c r="G536" s="77"/>
      <c r="H536" s="79" t="n">
        <f aca="false">N(H535)+IFERROR(IF(AND($A536&lt;&gt;"",$E536&lt;&gt;"",$A536&gt;=IF(Search!$E$4="",0,Search!$E$4),$A536&lt;=IF(Search!$E$5="",99999,Search!$E$5),OR(Search!$E$6="",ISNUMBER(SEARCH(Search!$E$6,$C536))),OR(Search!$E$7="All",Search!$E$7="",$D536=Search!$E$7),OR(Search!$E$8="",Search!$E$9="",AND($B536&lt;&gt;"",MOD($B536,1)&gt;=Search!$E$8,MOD($B536,1)&lt;=Search!$E$9))),1,0),0)</f>
        <v>0</v>
      </c>
      <c r="I536" s="79" t="n">
        <f aca="false">IF(H536&gt;N(H535),$E536,0)</f>
        <v>0</v>
      </c>
      <c r="J536" s="79" t="n">
        <f aca="false">IFERROR(IF(AND($A536&lt;&gt;"",$E536&lt;&gt;"",$A536&gt;=PeriodStart,$A536&lt;=PeriodEnd),$E536+ROW()/1000000,0),0)</f>
        <v>0</v>
      </c>
    </row>
    <row r="537" customFormat="false" ht="15" hidden="false" customHeight="false" outlineLevel="0" collapsed="false">
      <c r="A537" s="75"/>
      <c r="B537" s="76"/>
      <c r="C537" s="77"/>
      <c r="D537" s="77"/>
      <c r="E537" s="78"/>
      <c r="F537" s="77"/>
      <c r="G537" s="77"/>
      <c r="H537" s="79" t="n">
        <f aca="false">N(H536)+IFERROR(IF(AND($A537&lt;&gt;"",$E537&lt;&gt;"",$A537&gt;=IF(Search!$E$4="",0,Search!$E$4),$A537&lt;=IF(Search!$E$5="",99999,Search!$E$5),OR(Search!$E$6="",ISNUMBER(SEARCH(Search!$E$6,$C537))),OR(Search!$E$7="All",Search!$E$7="",$D537=Search!$E$7),OR(Search!$E$8="",Search!$E$9="",AND($B537&lt;&gt;"",MOD($B537,1)&gt;=Search!$E$8,MOD($B537,1)&lt;=Search!$E$9))),1,0),0)</f>
        <v>0</v>
      </c>
      <c r="I537" s="79" t="n">
        <f aca="false">IF(H537&gt;N(H536),$E537,0)</f>
        <v>0</v>
      </c>
      <c r="J537" s="79" t="n">
        <f aca="false">IFERROR(IF(AND($A537&lt;&gt;"",$E537&lt;&gt;"",$A537&gt;=PeriodStart,$A537&lt;=PeriodEnd),$E537+ROW()/1000000,0),0)</f>
        <v>0</v>
      </c>
    </row>
    <row r="538" customFormat="false" ht="15" hidden="false" customHeight="false" outlineLevel="0" collapsed="false">
      <c r="A538" s="75"/>
      <c r="B538" s="76"/>
      <c r="C538" s="77"/>
      <c r="D538" s="77"/>
      <c r="E538" s="78"/>
      <c r="F538" s="77"/>
      <c r="G538" s="77"/>
      <c r="H538" s="79" t="n">
        <f aca="false">N(H537)+IFERROR(IF(AND($A538&lt;&gt;"",$E538&lt;&gt;"",$A538&gt;=IF(Search!$E$4="",0,Search!$E$4),$A538&lt;=IF(Search!$E$5="",99999,Search!$E$5),OR(Search!$E$6="",ISNUMBER(SEARCH(Search!$E$6,$C538))),OR(Search!$E$7="All",Search!$E$7="",$D538=Search!$E$7),OR(Search!$E$8="",Search!$E$9="",AND($B538&lt;&gt;"",MOD($B538,1)&gt;=Search!$E$8,MOD($B538,1)&lt;=Search!$E$9))),1,0),0)</f>
        <v>0</v>
      </c>
      <c r="I538" s="79" t="n">
        <f aca="false">IF(H538&gt;N(H537),$E538,0)</f>
        <v>0</v>
      </c>
      <c r="J538" s="79" t="n">
        <f aca="false">IFERROR(IF(AND($A538&lt;&gt;"",$E538&lt;&gt;"",$A538&gt;=PeriodStart,$A538&lt;=PeriodEnd),$E538+ROW()/1000000,0),0)</f>
        <v>0</v>
      </c>
    </row>
    <row r="539" customFormat="false" ht="15" hidden="false" customHeight="false" outlineLevel="0" collapsed="false">
      <c r="A539" s="75"/>
      <c r="B539" s="76"/>
      <c r="C539" s="77"/>
      <c r="D539" s="77"/>
      <c r="E539" s="78"/>
      <c r="F539" s="77"/>
      <c r="G539" s="77"/>
      <c r="H539" s="79" t="n">
        <f aca="false">N(H538)+IFERROR(IF(AND($A539&lt;&gt;"",$E539&lt;&gt;"",$A539&gt;=IF(Search!$E$4="",0,Search!$E$4),$A539&lt;=IF(Search!$E$5="",99999,Search!$E$5),OR(Search!$E$6="",ISNUMBER(SEARCH(Search!$E$6,$C539))),OR(Search!$E$7="All",Search!$E$7="",$D539=Search!$E$7),OR(Search!$E$8="",Search!$E$9="",AND($B539&lt;&gt;"",MOD($B539,1)&gt;=Search!$E$8,MOD($B539,1)&lt;=Search!$E$9))),1,0),0)</f>
        <v>0</v>
      </c>
      <c r="I539" s="79" t="n">
        <f aca="false">IF(H539&gt;N(H538),$E539,0)</f>
        <v>0</v>
      </c>
      <c r="J539" s="79" t="n">
        <f aca="false">IFERROR(IF(AND($A539&lt;&gt;"",$E539&lt;&gt;"",$A539&gt;=PeriodStart,$A539&lt;=PeriodEnd),$E539+ROW()/1000000,0),0)</f>
        <v>0</v>
      </c>
    </row>
    <row r="540" customFormat="false" ht="15" hidden="false" customHeight="false" outlineLevel="0" collapsed="false">
      <c r="A540" s="75"/>
      <c r="B540" s="76"/>
      <c r="C540" s="77"/>
      <c r="D540" s="77"/>
      <c r="E540" s="78"/>
      <c r="F540" s="77"/>
      <c r="G540" s="77"/>
      <c r="H540" s="79" t="n">
        <f aca="false">N(H539)+IFERROR(IF(AND($A540&lt;&gt;"",$E540&lt;&gt;"",$A540&gt;=IF(Search!$E$4="",0,Search!$E$4),$A540&lt;=IF(Search!$E$5="",99999,Search!$E$5),OR(Search!$E$6="",ISNUMBER(SEARCH(Search!$E$6,$C540))),OR(Search!$E$7="All",Search!$E$7="",$D540=Search!$E$7),OR(Search!$E$8="",Search!$E$9="",AND($B540&lt;&gt;"",MOD($B540,1)&gt;=Search!$E$8,MOD($B540,1)&lt;=Search!$E$9))),1,0),0)</f>
        <v>0</v>
      </c>
      <c r="I540" s="79" t="n">
        <f aca="false">IF(H540&gt;N(H539),$E540,0)</f>
        <v>0</v>
      </c>
      <c r="J540" s="79" t="n">
        <f aca="false">IFERROR(IF(AND($A540&lt;&gt;"",$E540&lt;&gt;"",$A540&gt;=PeriodStart,$A540&lt;=PeriodEnd),$E540+ROW()/1000000,0),0)</f>
        <v>0</v>
      </c>
    </row>
    <row r="541" customFormat="false" ht="15" hidden="false" customHeight="false" outlineLevel="0" collapsed="false">
      <c r="A541" s="75"/>
      <c r="B541" s="76"/>
      <c r="C541" s="77"/>
      <c r="D541" s="77"/>
      <c r="E541" s="78"/>
      <c r="F541" s="77"/>
      <c r="G541" s="77"/>
      <c r="H541" s="79" t="n">
        <f aca="false">N(H540)+IFERROR(IF(AND($A541&lt;&gt;"",$E541&lt;&gt;"",$A541&gt;=IF(Search!$E$4="",0,Search!$E$4),$A541&lt;=IF(Search!$E$5="",99999,Search!$E$5),OR(Search!$E$6="",ISNUMBER(SEARCH(Search!$E$6,$C541))),OR(Search!$E$7="All",Search!$E$7="",$D541=Search!$E$7),OR(Search!$E$8="",Search!$E$9="",AND($B541&lt;&gt;"",MOD($B541,1)&gt;=Search!$E$8,MOD($B541,1)&lt;=Search!$E$9))),1,0),0)</f>
        <v>0</v>
      </c>
      <c r="I541" s="79" t="n">
        <f aca="false">IF(H541&gt;N(H540),$E541,0)</f>
        <v>0</v>
      </c>
      <c r="J541" s="79" t="n">
        <f aca="false">IFERROR(IF(AND($A541&lt;&gt;"",$E541&lt;&gt;"",$A541&gt;=PeriodStart,$A541&lt;=PeriodEnd),$E541+ROW()/1000000,0),0)</f>
        <v>0</v>
      </c>
    </row>
    <row r="542" customFormat="false" ht="15" hidden="false" customHeight="false" outlineLevel="0" collapsed="false">
      <c r="A542" s="75"/>
      <c r="B542" s="76"/>
      <c r="C542" s="77"/>
      <c r="D542" s="77"/>
      <c r="E542" s="78"/>
      <c r="F542" s="77"/>
      <c r="G542" s="77"/>
      <c r="H542" s="79" t="n">
        <f aca="false">N(H541)+IFERROR(IF(AND($A542&lt;&gt;"",$E542&lt;&gt;"",$A542&gt;=IF(Search!$E$4="",0,Search!$E$4),$A542&lt;=IF(Search!$E$5="",99999,Search!$E$5),OR(Search!$E$6="",ISNUMBER(SEARCH(Search!$E$6,$C542))),OR(Search!$E$7="All",Search!$E$7="",$D542=Search!$E$7),OR(Search!$E$8="",Search!$E$9="",AND($B542&lt;&gt;"",MOD($B542,1)&gt;=Search!$E$8,MOD($B542,1)&lt;=Search!$E$9))),1,0),0)</f>
        <v>0</v>
      </c>
      <c r="I542" s="79" t="n">
        <f aca="false">IF(H542&gt;N(H541),$E542,0)</f>
        <v>0</v>
      </c>
      <c r="J542" s="79" t="n">
        <f aca="false">IFERROR(IF(AND($A542&lt;&gt;"",$E542&lt;&gt;"",$A542&gt;=PeriodStart,$A542&lt;=PeriodEnd),$E542+ROW()/1000000,0),0)</f>
        <v>0</v>
      </c>
    </row>
    <row r="543" customFormat="false" ht="15" hidden="false" customHeight="false" outlineLevel="0" collapsed="false">
      <c r="A543" s="75"/>
      <c r="B543" s="76"/>
      <c r="C543" s="77"/>
      <c r="D543" s="77"/>
      <c r="E543" s="78"/>
      <c r="F543" s="77"/>
      <c r="G543" s="77"/>
      <c r="H543" s="79" t="n">
        <f aca="false">N(H542)+IFERROR(IF(AND($A543&lt;&gt;"",$E543&lt;&gt;"",$A543&gt;=IF(Search!$E$4="",0,Search!$E$4),$A543&lt;=IF(Search!$E$5="",99999,Search!$E$5),OR(Search!$E$6="",ISNUMBER(SEARCH(Search!$E$6,$C543))),OR(Search!$E$7="All",Search!$E$7="",$D543=Search!$E$7),OR(Search!$E$8="",Search!$E$9="",AND($B543&lt;&gt;"",MOD($B543,1)&gt;=Search!$E$8,MOD($B543,1)&lt;=Search!$E$9))),1,0),0)</f>
        <v>0</v>
      </c>
      <c r="I543" s="79" t="n">
        <f aca="false">IF(H543&gt;N(H542),$E543,0)</f>
        <v>0</v>
      </c>
      <c r="J543" s="79" t="n">
        <f aca="false">IFERROR(IF(AND($A543&lt;&gt;"",$E543&lt;&gt;"",$A543&gt;=PeriodStart,$A543&lt;=PeriodEnd),$E543+ROW()/1000000,0),0)</f>
        <v>0</v>
      </c>
    </row>
    <row r="544" customFormat="false" ht="15" hidden="false" customHeight="false" outlineLevel="0" collapsed="false">
      <c r="A544" s="75"/>
      <c r="B544" s="76"/>
      <c r="C544" s="77"/>
      <c r="D544" s="77"/>
      <c r="E544" s="78"/>
      <c r="F544" s="77"/>
      <c r="G544" s="77"/>
      <c r="H544" s="79" t="n">
        <f aca="false">N(H543)+IFERROR(IF(AND($A544&lt;&gt;"",$E544&lt;&gt;"",$A544&gt;=IF(Search!$E$4="",0,Search!$E$4),$A544&lt;=IF(Search!$E$5="",99999,Search!$E$5),OR(Search!$E$6="",ISNUMBER(SEARCH(Search!$E$6,$C544))),OR(Search!$E$7="All",Search!$E$7="",$D544=Search!$E$7),OR(Search!$E$8="",Search!$E$9="",AND($B544&lt;&gt;"",MOD($B544,1)&gt;=Search!$E$8,MOD($B544,1)&lt;=Search!$E$9))),1,0),0)</f>
        <v>0</v>
      </c>
      <c r="I544" s="79" t="n">
        <f aca="false">IF(H544&gt;N(H543),$E544,0)</f>
        <v>0</v>
      </c>
      <c r="J544" s="79" t="n">
        <f aca="false">IFERROR(IF(AND($A544&lt;&gt;"",$E544&lt;&gt;"",$A544&gt;=PeriodStart,$A544&lt;=PeriodEnd),$E544+ROW()/1000000,0),0)</f>
        <v>0</v>
      </c>
    </row>
    <row r="545" customFormat="false" ht="15" hidden="false" customHeight="false" outlineLevel="0" collapsed="false">
      <c r="A545" s="75"/>
      <c r="B545" s="76"/>
      <c r="C545" s="77"/>
      <c r="D545" s="77"/>
      <c r="E545" s="78"/>
      <c r="F545" s="77"/>
      <c r="G545" s="77"/>
      <c r="H545" s="79" t="n">
        <f aca="false">N(H544)+IFERROR(IF(AND($A545&lt;&gt;"",$E545&lt;&gt;"",$A545&gt;=IF(Search!$E$4="",0,Search!$E$4),$A545&lt;=IF(Search!$E$5="",99999,Search!$E$5),OR(Search!$E$6="",ISNUMBER(SEARCH(Search!$E$6,$C545))),OR(Search!$E$7="All",Search!$E$7="",$D545=Search!$E$7),OR(Search!$E$8="",Search!$E$9="",AND($B545&lt;&gt;"",MOD($B545,1)&gt;=Search!$E$8,MOD($B545,1)&lt;=Search!$E$9))),1,0),0)</f>
        <v>0</v>
      </c>
      <c r="I545" s="79" t="n">
        <f aca="false">IF(H545&gt;N(H544),$E545,0)</f>
        <v>0</v>
      </c>
      <c r="J545" s="79" t="n">
        <f aca="false">IFERROR(IF(AND($A545&lt;&gt;"",$E545&lt;&gt;"",$A545&gt;=PeriodStart,$A545&lt;=PeriodEnd),$E545+ROW()/1000000,0),0)</f>
        <v>0</v>
      </c>
    </row>
    <row r="546" customFormat="false" ht="15" hidden="false" customHeight="false" outlineLevel="0" collapsed="false">
      <c r="A546" s="75"/>
      <c r="B546" s="76"/>
      <c r="C546" s="77"/>
      <c r="D546" s="77"/>
      <c r="E546" s="78"/>
      <c r="F546" s="77"/>
      <c r="G546" s="77"/>
      <c r="H546" s="79" t="n">
        <f aca="false">N(H545)+IFERROR(IF(AND($A546&lt;&gt;"",$E546&lt;&gt;"",$A546&gt;=IF(Search!$E$4="",0,Search!$E$4),$A546&lt;=IF(Search!$E$5="",99999,Search!$E$5),OR(Search!$E$6="",ISNUMBER(SEARCH(Search!$E$6,$C546))),OR(Search!$E$7="All",Search!$E$7="",$D546=Search!$E$7),OR(Search!$E$8="",Search!$E$9="",AND($B546&lt;&gt;"",MOD($B546,1)&gt;=Search!$E$8,MOD($B546,1)&lt;=Search!$E$9))),1,0),0)</f>
        <v>0</v>
      </c>
      <c r="I546" s="79" t="n">
        <f aca="false">IF(H546&gt;N(H545),$E546,0)</f>
        <v>0</v>
      </c>
      <c r="J546" s="79" t="n">
        <f aca="false">IFERROR(IF(AND($A546&lt;&gt;"",$E546&lt;&gt;"",$A546&gt;=PeriodStart,$A546&lt;=PeriodEnd),$E546+ROW()/1000000,0),0)</f>
        <v>0</v>
      </c>
    </row>
    <row r="547" customFormat="false" ht="15" hidden="false" customHeight="false" outlineLevel="0" collapsed="false">
      <c r="A547" s="75"/>
      <c r="B547" s="76"/>
      <c r="C547" s="77"/>
      <c r="D547" s="77"/>
      <c r="E547" s="78"/>
      <c r="F547" s="77"/>
      <c r="G547" s="77"/>
      <c r="H547" s="79" t="n">
        <f aca="false">N(H546)+IFERROR(IF(AND($A547&lt;&gt;"",$E547&lt;&gt;"",$A547&gt;=IF(Search!$E$4="",0,Search!$E$4),$A547&lt;=IF(Search!$E$5="",99999,Search!$E$5),OR(Search!$E$6="",ISNUMBER(SEARCH(Search!$E$6,$C547))),OR(Search!$E$7="All",Search!$E$7="",$D547=Search!$E$7),OR(Search!$E$8="",Search!$E$9="",AND($B547&lt;&gt;"",MOD($B547,1)&gt;=Search!$E$8,MOD($B547,1)&lt;=Search!$E$9))),1,0),0)</f>
        <v>0</v>
      </c>
      <c r="I547" s="79" t="n">
        <f aca="false">IF(H547&gt;N(H546),$E547,0)</f>
        <v>0</v>
      </c>
      <c r="J547" s="79" t="n">
        <f aca="false">IFERROR(IF(AND($A547&lt;&gt;"",$E547&lt;&gt;"",$A547&gt;=PeriodStart,$A547&lt;=PeriodEnd),$E547+ROW()/1000000,0),0)</f>
        <v>0</v>
      </c>
    </row>
    <row r="548" customFormat="false" ht="15" hidden="false" customHeight="false" outlineLevel="0" collapsed="false">
      <c r="A548" s="75"/>
      <c r="B548" s="76"/>
      <c r="C548" s="77"/>
      <c r="D548" s="77"/>
      <c r="E548" s="78"/>
      <c r="F548" s="77"/>
      <c r="G548" s="77"/>
      <c r="H548" s="79" t="n">
        <f aca="false">N(H547)+IFERROR(IF(AND($A548&lt;&gt;"",$E548&lt;&gt;"",$A548&gt;=IF(Search!$E$4="",0,Search!$E$4),$A548&lt;=IF(Search!$E$5="",99999,Search!$E$5),OR(Search!$E$6="",ISNUMBER(SEARCH(Search!$E$6,$C548))),OR(Search!$E$7="All",Search!$E$7="",$D548=Search!$E$7),OR(Search!$E$8="",Search!$E$9="",AND($B548&lt;&gt;"",MOD($B548,1)&gt;=Search!$E$8,MOD($B548,1)&lt;=Search!$E$9))),1,0),0)</f>
        <v>0</v>
      </c>
      <c r="I548" s="79" t="n">
        <f aca="false">IF(H548&gt;N(H547),$E548,0)</f>
        <v>0</v>
      </c>
      <c r="J548" s="79" t="n">
        <f aca="false">IFERROR(IF(AND($A548&lt;&gt;"",$E548&lt;&gt;"",$A548&gt;=PeriodStart,$A548&lt;=PeriodEnd),$E548+ROW()/1000000,0),0)</f>
        <v>0</v>
      </c>
    </row>
    <row r="549" customFormat="false" ht="15" hidden="false" customHeight="false" outlineLevel="0" collapsed="false">
      <c r="A549" s="75"/>
      <c r="B549" s="76"/>
      <c r="C549" s="77"/>
      <c r="D549" s="77"/>
      <c r="E549" s="78"/>
      <c r="F549" s="77"/>
      <c r="G549" s="77"/>
      <c r="H549" s="79" t="n">
        <f aca="false">N(H548)+IFERROR(IF(AND($A549&lt;&gt;"",$E549&lt;&gt;"",$A549&gt;=IF(Search!$E$4="",0,Search!$E$4),$A549&lt;=IF(Search!$E$5="",99999,Search!$E$5),OR(Search!$E$6="",ISNUMBER(SEARCH(Search!$E$6,$C549))),OR(Search!$E$7="All",Search!$E$7="",$D549=Search!$E$7),OR(Search!$E$8="",Search!$E$9="",AND($B549&lt;&gt;"",MOD($B549,1)&gt;=Search!$E$8,MOD($B549,1)&lt;=Search!$E$9))),1,0),0)</f>
        <v>0</v>
      </c>
      <c r="I549" s="79" t="n">
        <f aca="false">IF(H549&gt;N(H548),$E549,0)</f>
        <v>0</v>
      </c>
      <c r="J549" s="79" t="n">
        <f aca="false">IFERROR(IF(AND($A549&lt;&gt;"",$E549&lt;&gt;"",$A549&gt;=PeriodStart,$A549&lt;=PeriodEnd),$E549+ROW()/1000000,0),0)</f>
        <v>0</v>
      </c>
    </row>
    <row r="550" customFormat="false" ht="15" hidden="false" customHeight="false" outlineLevel="0" collapsed="false">
      <c r="A550" s="75"/>
      <c r="B550" s="76"/>
      <c r="C550" s="77"/>
      <c r="D550" s="77"/>
      <c r="E550" s="78"/>
      <c r="F550" s="77"/>
      <c r="G550" s="77"/>
      <c r="H550" s="79" t="n">
        <f aca="false">N(H549)+IFERROR(IF(AND($A550&lt;&gt;"",$E550&lt;&gt;"",$A550&gt;=IF(Search!$E$4="",0,Search!$E$4),$A550&lt;=IF(Search!$E$5="",99999,Search!$E$5),OR(Search!$E$6="",ISNUMBER(SEARCH(Search!$E$6,$C550))),OR(Search!$E$7="All",Search!$E$7="",$D550=Search!$E$7),OR(Search!$E$8="",Search!$E$9="",AND($B550&lt;&gt;"",MOD($B550,1)&gt;=Search!$E$8,MOD($B550,1)&lt;=Search!$E$9))),1,0),0)</f>
        <v>0</v>
      </c>
      <c r="I550" s="79" t="n">
        <f aca="false">IF(H550&gt;N(H549),$E550,0)</f>
        <v>0</v>
      </c>
      <c r="J550" s="79" t="n">
        <f aca="false">IFERROR(IF(AND($A550&lt;&gt;"",$E550&lt;&gt;"",$A550&gt;=PeriodStart,$A550&lt;=PeriodEnd),$E550+ROW()/1000000,0),0)</f>
        <v>0</v>
      </c>
    </row>
    <row r="551" customFormat="false" ht="15" hidden="false" customHeight="false" outlineLevel="0" collapsed="false">
      <c r="A551" s="75"/>
      <c r="B551" s="76"/>
      <c r="C551" s="77"/>
      <c r="D551" s="77"/>
      <c r="E551" s="78"/>
      <c r="F551" s="77"/>
      <c r="G551" s="77"/>
      <c r="H551" s="79" t="n">
        <f aca="false">N(H550)+IFERROR(IF(AND($A551&lt;&gt;"",$E551&lt;&gt;"",$A551&gt;=IF(Search!$E$4="",0,Search!$E$4),$A551&lt;=IF(Search!$E$5="",99999,Search!$E$5),OR(Search!$E$6="",ISNUMBER(SEARCH(Search!$E$6,$C551))),OR(Search!$E$7="All",Search!$E$7="",$D551=Search!$E$7),OR(Search!$E$8="",Search!$E$9="",AND($B551&lt;&gt;"",MOD($B551,1)&gt;=Search!$E$8,MOD($B551,1)&lt;=Search!$E$9))),1,0),0)</f>
        <v>0</v>
      </c>
      <c r="I551" s="79" t="n">
        <f aca="false">IF(H551&gt;N(H550),$E551,0)</f>
        <v>0</v>
      </c>
      <c r="J551" s="79" t="n">
        <f aca="false">IFERROR(IF(AND($A551&lt;&gt;"",$E551&lt;&gt;"",$A551&gt;=PeriodStart,$A551&lt;=PeriodEnd),$E551+ROW()/1000000,0),0)</f>
        <v>0</v>
      </c>
    </row>
    <row r="552" customFormat="false" ht="15" hidden="false" customHeight="false" outlineLevel="0" collapsed="false">
      <c r="A552" s="75"/>
      <c r="B552" s="76"/>
      <c r="C552" s="77"/>
      <c r="D552" s="77"/>
      <c r="E552" s="78"/>
      <c r="F552" s="77"/>
      <c r="G552" s="77"/>
      <c r="H552" s="79" t="n">
        <f aca="false">N(H551)+IFERROR(IF(AND($A552&lt;&gt;"",$E552&lt;&gt;"",$A552&gt;=IF(Search!$E$4="",0,Search!$E$4),$A552&lt;=IF(Search!$E$5="",99999,Search!$E$5),OR(Search!$E$6="",ISNUMBER(SEARCH(Search!$E$6,$C552))),OR(Search!$E$7="All",Search!$E$7="",$D552=Search!$E$7),OR(Search!$E$8="",Search!$E$9="",AND($B552&lt;&gt;"",MOD($B552,1)&gt;=Search!$E$8,MOD($B552,1)&lt;=Search!$E$9))),1,0),0)</f>
        <v>0</v>
      </c>
      <c r="I552" s="79" t="n">
        <f aca="false">IF(H552&gt;N(H551),$E552,0)</f>
        <v>0</v>
      </c>
      <c r="J552" s="79" t="n">
        <f aca="false">IFERROR(IF(AND($A552&lt;&gt;"",$E552&lt;&gt;"",$A552&gt;=PeriodStart,$A552&lt;=PeriodEnd),$E552+ROW()/1000000,0),0)</f>
        <v>0</v>
      </c>
    </row>
    <row r="553" customFormat="false" ht="15" hidden="false" customHeight="false" outlineLevel="0" collapsed="false">
      <c r="A553" s="75"/>
      <c r="B553" s="76"/>
      <c r="C553" s="77"/>
      <c r="D553" s="77"/>
      <c r="E553" s="78"/>
      <c r="F553" s="77"/>
      <c r="G553" s="77"/>
      <c r="H553" s="79" t="n">
        <f aca="false">N(H552)+IFERROR(IF(AND($A553&lt;&gt;"",$E553&lt;&gt;"",$A553&gt;=IF(Search!$E$4="",0,Search!$E$4),$A553&lt;=IF(Search!$E$5="",99999,Search!$E$5),OR(Search!$E$6="",ISNUMBER(SEARCH(Search!$E$6,$C553))),OR(Search!$E$7="All",Search!$E$7="",$D553=Search!$E$7),OR(Search!$E$8="",Search!$E$9="",AND($B553&lt;&gt;"",MOD($B553,1)&gt;=Search!$E$8,MOD($B553,1)&lt;=Search!$E$9))),1,0),0)</f>
        <v>0</v>
      </c>
      <c r="I553" s="79" t="n">
        <f aca="false">IF(H553&gt;N(H552),$E553,0)</f>
        <v>0</v>
      </c>
      <c r="J553" s="79" t="n">
        <f aca="false">IFERROR(IF(AND($A553&lt;&gt;"",$E553&lt;&gt;"",$A553&gt;=PeriodStart,$A553&lt;=PeriodEnd),$E553+ROW()/1000000,0),0)</f>
        <v>0</v>
      </c>
    </row>
    <row r="554" customFormat="false" ht="15" hidden="false" customHeight="false" outlineLevel="0" collapsed="false">
      <c r="A554" s="75"/>
      <c r="B554" s="76"/>
      <c r="C554" s="77"/>
      <c r="D554" s="77"/>
      <c r="E554" s="78"/>
      <c r="F554" s="77"/>
      <c r="G554" s="77"/>
      <c r="H554" s="79" t="n">
        <f aca="false">N(H553)+IFERROR(IF(AND($A554&lt;&gt;"",$E554&lt;&gt;"",$A554&gt;=IF(Search!$E$4="",0,Search!$E$4),$A554&lt;=IF(Search!$E$5="",99999,Search!$E$5),OR(Search!$E$6="",ISNUMBER(SEARCH(Search!$E$6,$C554))),OR(Search!$E$7="All",Search!$E$7="",$D554=Search!$E$7),OR(Search!$E$8="",Search!$E$9="",AND($B554&lt;&gt;"",MOD($B554,1)&gt;=Search!$E$8,MOD($B554,1)&lt;=Search!$E$9))),1,0),0)</f>
        <v>0</v>
      </c>
      <c r="I554" s="79" t="n">
        <f aca="false">IF(H554&gt;N(H553),$E554,0)</f>
        <v>0</v>
      </c>
      <c r="J554" s="79" t="n">
        <f aca="false">IFERROR(IF(AND($A554&lt;&gt;"",$E554&lt;&gt;"",$A554&gt;=PeriodStart,$A554&lt;=PeriodEnd),$E554+ROW()/1000000,0),0)</f>
        <v>0</v>
      </c>
    </row>
    <row r="555" customFormat="false" ht="15" hidden="false" customHeight="false" outlineLevel="0" collapsed="false">
      <c r="A555" s="75"/>
      <c r="B555" s="76"/>
      <c r="C555" s="77"/>
      <c r="D555" s="77"/>
      <c r="E555" s="78"/>
      <c r="F555" s="77"/>
      <c r="G555" s="77"/>
      <c r="H555" s="79" t="n">
        <f aca="false">N(H554)+IFERROR(IF(AND($A555&lt;&gt;"",$E555&lt;&gt;"",$A555&gt;=IF(Search!$E$4="",0,Search!$E$4),$A555&lt;=IF(Search!$E$5="",99999,Search!$E$5),OR(Search!$E$6="",ISNUMBER(SEARCH(Search!$E$6,$C555))),OR(Search!$E$7="All",Search!$E$7="",$D555=Search!$E$7),OR(Search!$E$8="",Search!$E$9="",AND($B555&lt;&gt;"",MOD($B555,1)&gt;=Search!$E$8,MOD($B555,1)&lt;=Search!$E$9))),1,0),0)</f>
        <v>0</v>
      </c>
      <c r="I555" s="79" t="n">
        <f aca="false">IF(H555&gt;N(H554),$E555,0)</f>
        <v>0</v>
      </c>
      <c r="J555" s="79" t="n">
        <f aca="false">IFERROR(IF(AND($A555&lt;&gt;"",$E555&lt;&gt;"",$A555&gt;=PeriodStart,$A555&lt;=PeriodEnd),$E555+ROW()/1000000,0),0)</f>
        <v>0</v>
      </c>
    </row>
    <row r="556" customFormat="false" ht="15" hidden="false" customHeight="false" outlineLevel="0" collapsed="false">
      <c r="A556" s="75"/>
      <c r="B556" s="76"/>
      <c r="C556" s="77"/>
      <c r="D556" s="77"/>
      <c r="E556" s="78"/>
      <c r="F556" s="77"/>
      <c r="G556" s="77"/>
      <c r="H556" s="79" t="n">
        <f aca="false">N(H555)+IFERROR(IF(AND($A556&lt;&gt;"",$E556&lt;&gt;"",$A556&gt;=IF(Search!$E$4="",0,Search!$E$4),$A556&lt;=IF(Search!$E$5="",99999,Search!$E$5),OR(Search!$E$6="",ISNUMBER(SEARCH(Search!$E$6,$C556))),OR(Search!$E$7="All",Search!$E$7="",$D556=Search!$E$7),OR(Search!$E$8="",Search!$E$9="",AND($B556&lt;&gt;"",MOD($B556,1)&gt;=Search!$E$8,MOD($B556,1)&lt;=Search!$E$9))),1,0),0)</f>
        <v>0</v>
      </c>
      <c r="I556" s="79" t="n">
        <f aca="false">IF(H556&gt;N(H555),$E556,0)</f>
        <v>0</v>
      </c>
      <c r="J556" s="79" t="n">
        <f aca="false">IFERROR(IF(AND($A556&lt;&gt;"",$E556&lt;&gt;"",$A556&gt;=PeriodStart,$A556&lt;=PeriodEnd),$E556+ROW()/1000000,0),0)</f>
        <v>0</v>
      </c>
    </row>
    <row r="557" customFormat="false" ht="15" hidden="false" customHeight="false" outlineLevel="0" collapsed="false">
      <c r="A557" s="75"/>
      <c r="B557" s="76"/>
      <c r="C557" s="77"/>
      <c r="D557" s="77"/>
      <c r="E557" s="78"/>
      <c r="F557" s="77"/>
      <c r="G557" s="77"/>
      <c r="H557" s="79" t="n">
        <f aca="false">N(H556)+IFERROR(IF(AND($A557&lt;&gt;"",$E557&lt;&gt;"",$A557&gt;=IF(Search!$E$4="",0,Search!$E$4),$A557&lt;=IF(Search!$E$5="",99999,Search!$E$5),OR(Search!$E$6="",ISNUMBER(SEARCH(Search!$E$6,$C557))),OR(Search!$E$7="All",Search!$E$7="",$D557=Search!$E$7),OR(Search!$E$8="",Search!$E$9="",AND($B557&lt;&gt;"",MOD($B557,1)&gt;=Search!$E$8,MOD($B557,1)&lt;=Search!$E$9))),1,0),0)</f>
        <v>0</v>
      </c>
      <c r="I557" s="79" t="n">
        <f aca="false">IF(H557&gt;N(H556),$E557,0)</f>
        <v>0</v>
      </c>
      <c r="J557" s="79" t="n">
        <f aca="false">IFERROR(IF(AND($A557&lt;&gt;"",$E557&lt;&gt;"",$A557&gt;=PeriodStart,$A557&lt;=PeriodEnd),$E557+ROW()/1000000,0),0)</f>
        <v>0</v>
      </c>
    </row>
    <row r="558" customFormat="false" ht="15" hidden="false" customHeight="false" outlineLevel="0" collapsed="false">
      <c r="A558" s="75"/>
      <c r="B558" s="76"/>
      <c r="C558" s="77"/>
      <c r="D558" s="77"/>
      <c r="E558" s="78"/>
      <c r="F558" s="77"/>
      <c r="G558" s="77"/>
      <c r="H558" s="79" t="n">
        <f aca="false">N(H557)+IFERROR(IF(AND($A558&lt;&gt;"",$E558&lt;&gt;"",$A558&gt;=IF(Search!$E$4="",0,Search!$E$4),$A558&lt;=IF(Search!$E$5="",99999,Search!$E$5),OR(Search!$E$6="",ISNUMBER(SEARCH(Search!$E$6,$C558))),OR(Search!$E$7="All",Search!$E$7="",$D558=Search!$E$7),OR(Search!$E$8="",Search!$E$9="",AND($B558&lt;&gt;"",MOD($B558,1)&gt;=Search!$E$8,MOD($B558,1)&lt;=Search!$E$9))),1,0),0)</f>
        <v>0</v>
      </c>
      <c r="I558" s="79" t="n">
        <f aca="false">IF(H558&gt;N(H557),$E558,0)</f>
        <v>0</v>
      </c>
      <c r="J558" s="79" t="n">
        <f aca="false">IFERROR(IF(AND($A558&lt;&gt;"",$E558&lt;&gt;"",$A558&gt;=PeriodStart,$A558&lt;=PeriodEnd),$E558+ROW()/1000000,0),0)</f>
        <v>0</v>
      </c>
    </row>
    <row r="559" customFormat="false" ht="15" hidden="false" customHeight="false" outlineLevel="0" collapsed="false">
      <c r="A559" s="75"/>
      <c r="B559" s="76"/>
      <c r="C559" s="77"/>
      <c r="D559" s="77"/>
      <c r="E559" s="78"/>
      <c r="F559" s="77"/>
      <c r="G559" s="77"/>
      <c r="H559" s="79" t="n">
        <f aca="false">N(H558)+IFERROR(IF(AND($A559&lt;&gt;"",$E559&lt;&gt;"",$A559&gt;=IF(Search!$E$4="",0,Search!$E$4),$A559&lt;=IF(Search!$E$5="",99999,Search!$E$5),OR(Search!$E$6="",ISNUMBER(SEARCH(Search!$E$6,$C559))),OR(Search!$E$7="All",Search!$E$7="",$D559=Search!$E$7),OR(Search!$E$8="",Search!$E$9="",AND($B559&lt;&gt;"",MOD($B559,1)&gt;=Search!$E$8,MOD($B559,1)&lt;=Search!$E$9))),1,0),0)</f>
        <v>0</v>
      </c>
      <c r="I559" s="79" t="n">
        <f aca="false">IF(H559&gt;N(H558),$E559,0)</f>
        <v>0</v>
      </c>
      <c r="J559" s="79" t="n">
        <f aca="false">IFERROR(IF(AND($A559&lt;&gt;"",$E559&lt;&gt;"",$A559&gt;=PeriodStart,$A559&lt;=PeriodEnd),$E559+ROW()/1000000,0),0)</f>
        <v>0</v>
      </c>
    </row>
    <row r="560" customFormat="false" ht="15" hidden="false" customHeight="false" outlineLevel="0" collapsed="false">
      <c r="A560" s="75"/>
      <c r="B560" s="76"/>
      <c r="C560" s="77"/>
      <c r="D560" s="77"/>
      <c r="E560" s="78"/>
      <c r="F560" s="77"/>
      <c r="G560" s="77"/>
      <c r="H560" s="79" t="n">
        <f aca="false">N(H559)+IFERROR(IF(AND($A560&lt;&gt;"",$E560&lt;&gt;"",$A560&gt;=IF(Search!$E$4="",0,Search!$E$4),$A560&lt;=IF(Search!$E$5="",99999,Search!$E$5),OR(Search!$E$6="",ISNUMBER(SEARCH(Search!$E$6,$C560))),OR(Search!$E$7="All",Search!$E$7="",$D560=Search!$E$7),OR(Search!$E$8="",Search!$E$9="",AND($B560&lt;&gt;"",MOD($B560,1)&gt;=Search!$E$8,MOD($B560,1)&lt;=Search!$E$9))),1,0),0)</f>
        <v>0</v>
      </c>
      <c r="I560" s="79" t="n">
        <f aca="false">IF(H560&gt;N(H559),$E560,0)</f>
        <v>0</v>
      </c>
      <c r="J560" s="79" t="n">
        <f aca="false">IFERROR(IF(AND($A560&lt;&gt;"",$E560&lt;&gt;"",$A560&gt;=PeriodStart,$A560&lt;=PeriodEnd),$E560+ROW()/1000000,0),0)</f>
        <v>0</v>
      </c>
    </row>
    <row r="561" customFormat="false" ht="15" hidden="false" customHeight="false" outlineLevel="0" collapsed="false">
      <c r="A561" s="75"/>
      <c r="B561" s="76"/>
      <c r="C561" s="77"/>
      <c r="D561" s="77"/>
      <c r="E561" s="78"/>
      <c r="F561" s="77"/>
      <c r="G561" s="77"/>
      <c r="H561" s="79" t="n">
        <f aca="false">N(H560)+IFERROR(IF(AND($A561&lt;&gt;"",$E561&lt;&gt;"",$A561&gt;=IF(Search!$E$4="",0,Search!$E$4),$A561&lt;=IF(Search!$E$5="",99999,Search!$E$5),OR(Search!$E$6="",ISNUMBER(SEARCH(Search!$E$6,$C561))),OR(Search!$E$7="All",Search!$E$7="",$D561=Search!$E$7),OR(Search!$E$8="",Search!$E$9="",AND($B561&lt;&gt;"",MOD($B561,1)&gt;=Search!$E$8,MOD($B561,1)&lt;=Search!$E$9))),1,0),0)</f>
        <v>0</v>
      </c>
      <c r="I561" s="79" t="n">
        <f aca="false">IF(H561&gt;N(H560),$E561,0)</f>
        <v>0</v>
      </c>
      <c r="J561" s="79" t="n">
        <f aca="false">IFERROR(IF(AND($A561&lt;&gt;"",$E561&lt;&gt;"",$A561&gt;=PeriodStart,$A561&lt;=PeriodEnd),$E561+ROW()/1000000,0),0)</f>
        <v>0</v>
      </c>
    </row>
    <row r="562" customFormat="false" ht="15" hidden="false" customHeight="false" outlineLevel="0" collapsed="false">
      <c r="A562" s="75"/>
      <c r="B562" s="76"/>
      <c r="C562" s="77"/>
      <c r="D562" s="77"/>
      <c r="E562" s="78"/>
      <c r="F562" s="77"/>
      <c r="G562" s="77"/>
      <c r="H562" s="79" t="n">
        <f aca="false">N(H561)+IFERROR(IF(AND($A562&lt;&gt;"",$E562&lt;&gt;"",$A562&gt;=IF(Search!$E$4="",0,Search!$E$4),$A562&lt;=IF(Search!$E$5="",99999,Search!$E$5),OR(Search!$E$6="",ISNUMBER(SEARCH(Search!$E$6,$C562))),OR(Search!$E$7="All",Search!$E$7="",$D562=Search!$E$7),OR(Search!$E$8="",Search!$E$9="",AND($B562&lt;&gt;"",MOD($B562,1)&gt;=Search!$E$8,MOD($B562,1)&lt;=Search!$E$9))),1,0),0)</f>
        <v>0</v>
      </c>
      <c r="I562" s="79" t="n">
        <f aca="false">IF(H562&gt;N(H561),$E562,0)</f>
        <v>0</v>
      </c>
      <c r="J562" s="79" t="n">
        <f aca="false">IFERROR(IF(AND($A562&lt;&gt;"",$E562&lt;&gt;"",$A562&gt;=PeriodStart,$A562&lt;=PeriodEnd),$E562+ROW()/1000000,0),0)</f>
        <v>0</v>
      </c>
    </row>
    <row r="563" customFormat="false" ht="15" hidden="false" customHeight="false" outlineLevel="0" collapsed="false">
      <c r="A563" s="75"/>
      <c r="B563" s="76"/>
      <c r="C563" s="77"/>
      <c r="D563" s="77"/>
      <c r="E563" s="78"/>
      <c r="F563" s="77"/>
      <c r="G563" s="77"/>
      <c r="H563" s="79" t="n">
        <f aca="false">N(H562)+IFERROR(IF(AND($A563&lt;&gt;"",$E563&lt;&gt;"",$A563&gt;=IF(Search!$E$4="",0,Search!$E$4),$A563&lt;=IF(Search!$E$5="",99999,Search!$E$5),OR(Search!$E$6="",ISNUMBER(SEARCH(Search!$E$6,$C563))),OR(Search!$E$7="All",Search!$E$7="",$D563=Search!$E$7),OR(Search!$E$8="",Search!$E$9="",AND($B563&lt;&gt;"",MOD($B563,1)&gt;=Search!$E$8,MOD($B563,1)&lt;=Search!$E$9))),1,0),0)</f>
        <v>0</v>
      </c>
      <c r="I563" s="79" t="n">
        <f aca="false">IF(H563&gt;N(H562),$E563,0)</f>
        <v>0</v>
      </c>
      <c r="J563" s="79" t="n">
        <f aca="false">IFERROR(IF(AND($A563&lt;&gt;"",$E563&lt;&gt;"",$A563&gt;=PeriodStart,$A563&lt;=PeriodEnd),$E563+ROW()/1000000,0),0)</f>
        <v>0</v>
      </c>
    </row>
    <row r="564" customFormat="false" ht="15" hidden="false" customHeight="false" outlineLevel="0" collapsed="false">
      <c r="A564" s="75"/>
      <c r="B564" s="76"/>
      <c r="C564" s="77"/>
      <c r="D564" s="77"/>
      <c r="E564" s="78"/>
      <c r="F564" s="77"/>
      <c r="G564" s="77"/>
      <c r="H564" s="79" t="n">
        <f aca="false">N(H563)+IFERROR(IF(AND($A564&lt;&gt;"",$E564&lt;&gt;"",$A564&gt;=IF(Search!$E$4="",0,Search!$E$4),$A564&lt;=IF(Search!$E$5="",99999,Search!$E$5),OR(Search!$E$6="",ISNUMBER(SEARCH(Search!$E$6,$C564))),OR(Search!$E$7="All",Search!$E$7="",$D564=Search!$E$7),OR(Search!$E$8="",Search!$E$9="",AND($B564&lt;&gt;"",MOD($B564,1)&gt;=Search!$E$8,MOD($B564,1)&lt;=Search!$E$9))),1,0),0)</f>
        <v>0</v>
      </c>
      <c r="I564" s="79" t="n">
        <f aca="false">IF(H564&gt;N(H563),$E564,0)</f>
        <v>0</v>
      </c>
      <c r="J564" s="79" t="n">
        <f aca="false">IFERROR(IF(AND($A564&lt;&gt;"",$E564&lt;&gt;"",$A564&gt;=PeriodStart,$A564&lt;=PeriodEnd),$E564+ROW()/1000000,0),0)</f>
        <v>0</v>
      </c>
    </row>
    <row r="565" customFormat="false" ht="15" hidden="false" customHeight="false" outlineLevel="0" collapsed="false">
      <c r="A565" s="75"/>
      <c r="B565" s="76"/>
      <c r="C565" s="77"/>
      <c r="D565" s="77"/>
      <c r="E565" s="78"/>
      <c r="F565" s="77"/>
      <c r="G565" s="77"/>
      <c r="H565" s="79" t="n">
        <f aca="false">N(H564)+IFERROR(IF(AND($A565&lt;&gt;"",$E565&lt;&gt;"",$A565&gt;=IF(Search!$E$4="",0,Search!$E$4),$A565&lt;=IF(Search!$E$5="",99999,Search!$E$5),OR(Search!$E$6="",ISNUMBER(SEARCH(Search!$E$6,$C565))),OR(Search!$E$7="All",Search!$E$7="",$D565=Search!$E$7),OR(Search!$E$8="",Search!$E$9="",AND($B565&lt;&gt;"",MOD($B565,1)&gt;=Search!$E$8,MOD($B565,1)&lt;=Search!$E$9))),1,0),0)</f>
        <v>0</v>
      </c>
      <c r="I565" s="79" t="n">
        <f aca="false">IF(H565&gt;N(H564),$E565,0)</f>
        <v>0</v>
      </c>
      <c r="J565" s="79" t="n">
        <f aca="false">IFERROR(IF(AND($A565&lt;&gt;"",$E565&lt;&gt;"",$A565&gt;=PeriodStart,$A565&lt;=PeriodEnd),$E565+ROW()/1000000,0),0)</f>
        <v>0</v>
      </c>
    </row>
    <row r="566" customFormat="false" ht="15" hidden="false" customHeight="false" outlineLevel="0" collapsed="false">
      <c r="A566" s="75"/>
      <c r="B566" s="76"/>
      <c r="C566" s="77"/>
      <c r="D566" s="77"/>
      <c r="E566" s="78"/>
      <c r="F566" s="77"/>
      <c r="G566" s="77"/>
      <c r="H566" s="79" t="n">
        <f aca="false">N(H565)+IFERROR(IF(AND($A566&lt;&gt;"",$E566&lt;&gt;"",$A566&gt;=IF(Search!$E$4="",0,Search!$E$4),$A566&lt;=IF(Search!$E$5="",99999,Search!$E$5),OR(Search!$E$6="",ISNUMBER(SEARCH(Search!$E$6,$C566))),OR(Search!$E$7="All",Search!$E$7="",$D566=Search!$E$7),OR(Search!$E$8="",Search!$E$9="",AND($B566&lt;&gt;"",MOD($B566,1)&gt;=Search!$E$8,MOD($B566,1)&lt;=Search!$E$9))),1,0),0)</f>
        <v>0</v>
      </c>
      <c r="I566" s="79" t="n">
        <f aca="false">IF(H566&gt;N(H565),$E566,0)</f>
        <v>0</v>
      </c>
      <c r="J566" s="79" t="n">
        <f aca="false">IFERROR(IF(AND($A566&lt;&gt;"",$E566&lt;&gt;"",$A566&gt;=PeriodStart,$A566&lt;=PeriodEnd),$E566+ROW()/1000000,0),0)</f>
        <v>0</v>
      </c>
    </row>
    <row r="567" customFormat="false" ht="15" hidden="false" customHeight="false" outlineLevel="0" collapsed="false">
      <c r="A567" s="75"/>
      <c r="B567" s="76"/>
      <c r="C567" s="77"/>
      <c r="D567" s="77"/>
      <c r="E567" s="78"/>
      <c r="F567" s="77"/>
      <c r="G567" s="77"/>
      <c r="H567" s="79" t="n">
        <f aca="false">N(H566)+IFERROR(IF(AND($A567&lt;&gt;"",$E567&lt;&gt;"",$A567&gt;=IF(Search!$E$4="",0,Search!$E$4),$A567&lt;=IF(Search!$E$5="",99999,Search!$E$5),OR(Search!$E$6="",ISNUMBER(SEARCH(Search!$E$6,$C567))),OR(Search!$E$7="All",Search!$E$7="",$D567=Search!$E$7),OR(Search!$E$8="",Search!$E$9="",AND($B567&lt;&gt;"",MOD($B567,1)&gt;=Search!$E$8,MOD($B567,1)&lt;=Search!$E$9))),1,0),0)</f>
        <v>0</v>
      </c>
      <c r="I567" s="79" t="n">
        <f aca="false">IF(H567&gt;N(H566),$E567,0)</f>
        <v>0</v>
      </c>
      <c r="J567" s="79" t="n">
        <f aca="false">IFERROR(IF(AND($A567&lt;&gt;"",$E567&lt;&gt;"",$A567&gt;=PeriodStart,$A567&lt;=PeriodEnd),$E567+ROW()/1000000,0),0)</f>
        <v>0</v>
      </c>
    </row>
    <row r="568" customFormat="false" ht="15" hidden="false" customHeight="false" outlineLevel="0" collapsed="false">
      <c r="A568" s="75"/>
      <c r="B568" s="76"/>
      <c r="C568" s="77"/>
      <c r="D568" s="77"/>
      <c r="E568" s="78"/>
      <c r="F568" s="77"/>
      <c r="G568" s="77"/>
      <c r="H568" s="79" t="n">
        <f aca="false">N(H567)+IFERROR(IF(AND($A568&lt;&gt;"",$E568&lt;&gt;"",$A568&gt;=IF(Search!$E$4="",0,Search!$E$4),$A568&lt;=IF(Search!$E$5="",99999,Search!$E$5),OR(Search!$E$6="",ISNUMBER(SEARCH(Search!$E$6,$C568))),OR(Search!$E$7="All",Search!$E$7="",$D568=Search!$E$7),OR(Search!$E$8="",Search!$E$9="",AND($B568&lt;&gt;"",MOD($B568,1)&gt;=Search!$E$8,MOD($B568,1)&lt;=Search!$E$9))),1,0),0)</f>
        <v>0</v>
      </c>
      <c r="I568" s="79" t="n">
        <f aca="false">IF(H568&gt;N(H567),$E568,0)</f>
        <v>0</v>
      </c>
      <c r="J568" s="79" t="n">
        <f aca="false">IFERROR(IF(AND($A568&lt;&gt;"",$E568&lt;&gt;"",$A568&gt;=PeriodStart,$A568&lt;=PeriodEnd),$E568+ROW()/1000000,0),0)</f>
        <v>0</v>
      </c>
    </row>
    <row r="569" customFormat="false" ht="15" hidden="false" customHeight="false" outlineLevel="0" collapsed="false">
      <c r="A569" s="75"/>
      <c r="B569" s="76"/>
      <c r="C569" s="77"/>
      <c r="D569" s="77"/>
      <c r="E569" s="78"/>
      <c r="F569" s="77"/>
      <c r="G569" s="77"/>
      <c r="H569" s="79" t="n">
        <f aca="false">N(H568)+IFERROR(IF(AND($A569&lt;&gt;"",$E569&lt;&gt;"",$A569&gt;=IF(Search!$E$4="",0,Search!$E$4),$A569&lt;=IF(Search!$E$5="",99999,Search!$E$5),OR(Search!$E$6="",ISNUMBER(SEARCH(Search!$E$6,$C569))),OR(Search!$E$7="All",Search!$E$7="",$D569=Search!$E$7),OR(Search!$E$8="",Search!$E$9="",AND($B569&lt;&gt;"",MOD($B569,1)&gt;=Search!$E$8,MOD($B569,1)&lt;=Search!$E$9))),1,0),0)</f>
        <v>0</v>
      </c>
      <c r="I569" s="79" t="n">
        <f aca="false">IF(H569&gt;N(H568),$E569,0)</f>
        <v>0</v>
      </c>
      <c r="J569" s="79" t="n">
        <f aca="false">IFERROR(IF(AND($A569&lt;&gt;"",$E569&lt;&gt;"",$A569&gt;=PeriodStart,$A569&lt;=PeriodEnd),$E569+ROW()/1000000,0),0)</f>
        <v>0</v>
      </c>
    </row>
    <row r="570" customFormat="false" ht="15" hidden="false" customHeight="false" outlineLevel="0" collapsed="false">
      <c r="A570" s="75"/>
      <c r="B570" s="76"/>
      <c r="C570" s="77"/>
      <c r="D570" s="77"/>
      <c r="E570" s="78"/>
      <c r="F570" s="77"/>
      <c r="G570" s="77"/>
      <c r="H570" s="79" t="n">
        <f aca="false">N(H569)+IFERROR(IF(AND($A570&lt;&gt;"",$E570&lt;&gt;"",$A570&gt;=IF(Search!$E$4="",0,Search!$E$4),$A570&lt;=IF(Search!$E$5="",99999,Search!$E$5),OR(Search!$E$6="",ISNUMBER(SEARCH(Search!$E$6,$C570))),OR(Search!$E$7="All",Search!$E$7="",$D570=Search!$E$7),OR(Search!$E$8="",Search!$E$9="",AND($B570&lt;&gt;"",MOD($B570,1)&gt;=Search!$E$8,MOD($B570,1)&lt;=Search!$E$9))),1,0),0)</f>
        <v>0</v>
      </c>
      <c r="I570" s="79" t="n">
        <f aca="false">IF(H570&gt;N(H569),$E570,0)</f>
        <v>0</v>
      </c>
      <c r="J570" s="79" t="n">
        <f aca="false">IFERROR(IF(AND($A570&lt;&gt;"",$E570&lt;&gt;"",$A570&gt;=PeriodStart,$A570&lt;=PeriodEnd),$E570+ROW()/1000000,0),0)</f>
        <v>0</v>
      </c>
    </row>
    <row r="571" customFormat="false" ht="15" hidden="false" customHeight="false" outlineLevel="0" collapsed="false">
      <c r="A571" s="75"/>
      <c r="B571" s="76"/>
      <c r="C571" s="77"/>
      <c r="D571" s="77"/>
      <c r="E571" s="78"/>
      <c r="F571" s="77"/>
      <c r="G571" s="77"/>
      <c r="H571" s="79" t="n">
        <f aca="false">N(H570)+IFERROR(IF(AND($A571&lt;&gt;"",$E571&lt;&gt;"",$A571&gt;=IF(Search!$E$4="",0,Search!$E$4),$A571&lt;=IF(Search!$E$5="",99999,Search!$E$5),OR(Search!$E$6="",ISNUMBER(SEARCH(Search!$E$6,$C571))),OR(Search!$E$7="All",Search!$E$7="",$D571=Search!$E$7),OR(Search!$E$8="",Search!$E$9="",AND($B571&lt;&gt;"",MOD($B571,1)&gt;=Search!$E$8,MOD($B571,1)&lt;=Search!$E$9))),1,0),0)</f>
        <v>0</v>
      </c>
      <c r="I571" s="79" t="n">
        <f aca="false">IF(H571&gt;N(H570),$E571,0)</f>
        <v>0</v>
      </c>
      <c r="J571" s="79" t="n">
        <f aca="false">IFERROR(IF(AND($A571&lt;&gt;"",$E571&lt;&gt;"",$A571&gt;=PeriodStart,$A571&lt;=PeriodEnd),$E571+ROW()/1000000,0),0)</f>
        <v>0</v>
      </c>
    </row>
    <row r="572" customFormat="false" ht="15" hidden="false" customHeight="false" outlineLevel="0" collapsed="false">
      <c r="A572" s="75"/>
      <c r="B572" s="76"/>
      <c r="C572" s="77"/>
      <c r="D572" s="77"/>
      <c r="E572" s="78"/>
      <c r="F572" s="77"/>
      <c r="G572" s="77"/>
      <c r="H572" s="79" t="n">
        <f aca="false">N(H571)+IFERROR(IF(AND($A572&lt;&gt;"",$E572&lt;&gt;"",$A572&gt;=IF(Search!$E$4="",0,Search!$E$4),$A572&lt;=IF(Search!$E$5="",99999,Search!$E$5),OR(Search!$E$6="",ISNUMBER(SEARCH(Search!$E$6,$C572))),OR(Search!$E$7="All",Search!$E$7="",$D572=Search!$E$7),OR(Search!$E$8="",Search!$E$9="",AND($B572&lt;&gt;"",MOD($B572,1)&gt;=Search!$E$8,MOD($B572,1)&lt;=Search!$E$9))),1,0),0)</f>
        <v>0</v>
      </c>
      <c r="I572" s="79" t="n">
        <f aca="false">IF(H572&gt;N(H571),$E572,0)</f>
        <v>0</v>
      </c>
      <c r="J572" s="79" t="n">
        <f aca="false">IFERROR(IF(AND($A572&lt;&gt;"",$E572&lt;&gt;"",$A572&gt;=PeriodStart,$A572&lt;=PeriodEnd),$E572+ROW()/1000000,0),0)</f>
        <v>0</v>
      </c>
    </row>
    <row r="573" customFormat="false" ht="15" hidden="false" customHeight="false" outlineLevel="0" collapsed="false">
      <c r="A573" s="75"/>
      <c r="B573" s="76"/>
      <c r="C573" s="77"/>
      <c r="D573" s="77"/>
      <c r="E573" s="78"/>
      <c r="F573" s="77"/>
      <c r="G573" s="77"/>
      <c r="H573" s="79" t="n">
        <f aca="false">N(H572)+IFERROR(IF(AND($A573&lt;&gt;"",$E573&lt;&gt;"",$A573&gt;=IF(Search!$E$4="",0,Search!$E$4),$A573&lt;=IF(Search!$E$5="",99999,Search!$E$5),OR(Search!$E$6="",ISNUMBER(SEARCH(Search!$E$6,$C573))),OR(Search!$E$7="All",Search!$E$7="",$D573=Search!$E$7),OR(Search!$E$8="",Search!$E$9="",AND($B573&lt;&gt;"",MOD($B573,1)&gt;=Search!$E$8,MOD($B573,1)&lt;=Search!$E$9))),1,0),0)</f>
        <v>0</v>
      </c>
      <c r="I573" s="79" t="n">
        <f aca="false">IF(H573&gt;N(H572),$E573,0)</f>
        <v>0</v>
      </c>
      <c r="J573" s="79" t="n">
        <f aca="false">IFERROR(IF(AND($A573&lt;&gt;"",$E573&lt;&gt;"",$A573&gt;=PeriodStart,$A573&lt;=PeriodEnd),$E573+ROW()/1000000,0),0)</f>
        <v>0</v>
      </c>
    </row>
    <row r="574" customFormat="false" ht="15" hidden="false" customHeight="false" outlineLevel="0" collapsed="false">
      <c r="A574" s="75"/>
      <c r="B574" s="76"/>
      <c r="C574" s="77"/>
      <c r="D574" s="77"/>
      <c r="E574" s="78"/>
      <c r="F574" s="77"/>
      <c r="G574" s="77"/>
      <c r="H574" s="79" t="n">
        <f aca="false">N(H573)+IFERROR(IF(AND($A574&lt;&gt;"",$E574&lt;&gt;"",$A574&gt;=IF(Search!$E$4="",0,Search!$E$4),$A574&lt;=IF(Search!$E$5="",99999,Search!$E$5),OR(Search!$E$6="",ISNUMBER(SEARCH(Search!$E$6,$C574))),OR(Search!$E$7="All",Search!$E$7="",$D574=Search!$E$7),OR(Search!$E$8="",Search!$E$9="",AND($B574&lt;&gt;"",MOD($B574,1)&gt;=Search!$E$8,MOD($B574,1)&lt;=Search!$E$9))),1,0),0)</f>
        <v>0</v>
      </c>
      <c r="I574" s="79" t="n">
        <f aca="false">IF(H574&gt;N(H573),$E574,0)</f>
        <v>0</v>
      </c>
      <c r="J574" s="79" t="n">
        <f aca="false">IFERROR(IF(AND($A574&lt;&gt;"",$E574&lt;&gt;"",$A574&gt;=PeriodStart,$A574&lt;=PeriodEnd),$E574+ROW()/1000000,0),0)</f>
        <v>0</v>
      </c>
    </row>
    <row r="575" customFormat="false" ht="15" hidden="false" customHeight="false" outlineLevel="0" collapsed="false">
      <c r="A575" s="75"/>
      <c r="B575" s="76"/>
      <c r="C575" s="77"/>
      <c r="D575" s="77"/>
      <c r="E575" s="78"/>
      <c r="F575" s="77"/>
      <c r="G575" s="77"/>
      <c r="H575" s="79" t="n">
        <f aca="false">N(H574)+IFERROR(IF(AND($A575&lt;&gt;"",$E575&lt;&gt;"",$A575&gt;=IF(Search!$E$4="",0,Search!$E$4),$A575&lt;=IF(Search!$E$5="",99999,Search!$E$5),OR(Search!$E$6="",ISNUMBER(SEARCH(Search!$E$6,$C575))),OR(Search!$E$7="All",Search!$E$7="",$D575=Search!$E$7),OR(Search!$E$8="",Search!$E$9="",AND($B575&lt;&gt;"",MOD($B575,1)&gt;=Search!$E$8,MOD($B575,1)&lt;=Search!$E$9))),1,0),0)</f>
        <v>0</v>
      </c>
      <c r="I575" s="79" t="n">
        <f aca="false">IF(H575&gt;N(H574),$E575,0)</f>
        <v>0</v>
      </c>
      <c r="J575" s="79" t="n">
        <f aca="false">IFERROR(IF(AND($A575&lt;&gt;"",$E575&lt;&gt;"",$A575&gt;=PeriodStart,$A575&lt;=PeriodEnd),$E575+ROW()/1000000,0),0)</f>
        <v>0</v>
      </c>
    </row>
    <row r="576" customFormat="false" ht="15" hidden="false" customHeight="false" outlineLevel="0" collapsed="false">
      <c r="A576" s="75"/>
      <c r="B576" s="76"/>
      <c r="C576" s="77"/>
      <c r="D576" s="77"/>
      <c r="E576" s="78"/>
      <c r="F576" s="77"/>
      <c r="G576" s="77"/>
      <c r="H576" s="79" t="n">
        <f aca="false">N(H575)+IFERROR(IF(AND($A576&lt;&gt;"",$E576&lt;&gt;"",$A576&gt;=IF(Search!$E$4="",0,Search!$E$4),$A576&lt;=IF(Search!$E$5="",99999,Search!$E$5),OR(Search!$E$6="",ISNUMBER(SEARCH(Search!$E$6,$C576))),OR(Search!$E$7="All",Search!$E$7="",$D576=Search!$E$7),OR(Search!$E$8="",Search!$E$9="",AND($B576&lt;&gt;"",MOD($B576,1)&gt;=Search!$E$8,MOD($B576,1)&lt;=Search!$E$9))),1,0),0)</f>
        <v>0</v>
      </c>
      <c r="I576" s="79" t="n">
        <f aca="false">IF(H576&gt;N(H575),$E576,0)</f>
        <v>0</v>
      </c>
      <c r="J576" s="79" t="n">
        <f aca="false">IFERROR(IF(AND($A576&lt;&gt;"",$E576&lt;&gt;"",$A576&gt;=PeriodStart,$A576&lt;=PeriodEnd),$E576+ROW()/1000000,0),0)</f>
        <v>0</v>
      </c>
    </row>
    <row r="577" customFormat="false" ht="15" hidden="false" customHeight="false" outlineLevel="0" collapsed="false">
      <c r="A577" s="75"/>
      <c r="B577" s="76"/>
      <c r="C577" s="77"/>
      <c r="D577" s="77"/>
      <c r="E577" s="78"/>
      <c r="F577" s="77"/>
      <c r="G577" s="77"/>
      <c r="H577" s="79" t="n">
        <f aca="false">N(H576)+IFERROR(IF(AND($A577&lt;&gt;"",$E577&lt;&gt;"",$A577&gt;=IF(Search!$E$4="",0,Search!$E$4),$A577&lt;=IF(Search!$E$5="",99999,Search!$E$5),OR(Search!$E$6="",ISNUMBER(SEARCH(Search!$E$6,$C577))),OR(Search!$E$7="All",Search!$E$7="",$D577=Search!$E$7),OR(Search!$E$8="",Search!$E$9="",AND($B577&lt;&gt;"",MOD($B577,1)&gt;=Search!$E$8,MOD($B577,1)&lt;=Search!$E$9))),1,0),0)</f>
        <v>0</v>
      </c>
      <c r="I577" s="79" t="n">
        <f aca="false">IF(H577&gt;N(H576),$E577,0)</f>
        <v>0</v>
      </c>
      <c r="J577" s="79" t="n">
        <f aca="false">IFERROR(IF(AND($A577&lt;&gt;"",$E577&lt;&gt;"",$A577&gt;=PeriodStart,$A577&lt;=PeriodEnd),$E577+ROW()/1000000,0),0)</f>
        <v>0</v>
      </c>
    </row>
    <row r="578" customFormat="false" ht="15" hidden="false" customHeight="false" outlineLevel="0" collapsed="false">
      <c r="A578" s="75"/>
      <c r="B578" s="76"/>
      <c r="C578" s="77"/>
      <c r="D578" s="77"/>
      <c r="E578" s="78"/>
      <c r="F578" s="77"/>
      <c r="G578" s="77"/>
      <c r="H578" s="79" t="n">
        <f aca="false">N(H577)+IFERROR(IF(AND($A578&lt;&gt;"",$E578&lt;&gt;"",$A578&gt;=IF(Search!$E$4="",0,Search!$E$4),$A578&lt;=IF(Search!$E$5="",99999,Search!$E$5),OR(Search!$E$6="",ISNUMBER(SEARCH(Search!$E$6,$C578))),OR(Search!$E$7="All",Search!$E$7="",$D578=Search!$E$7),OR(Search!$E$8="",Search!$E$9="",AND($B578&lt;&gt;"",MOD($B578,1)&gt;=Search!$E$8,MOD($B578,1)&lt;=Search!$E$9))),1,0),0)</f>
        <v>0</v>
      </c>
      <c r="I578" s="79" t="n">
        <f aca="false">IF(H578&gt;N(H577),$E578,0)</f>
        <v>0</v>
      </c>
      <c r="J578" s="79" t="n">
        <f aca="false">IFERROR(IF(AND($A578&lt;&gt;"",$E578&lt;&gt;"",$A578&gt;=PeriodStart,$A578&lt;=PeriodEnd),$E578+ROW()/1000000,0),0)</f>
        <v>0</v>
      </c>
    </row>
    <row r="579" customFormat="false" ht="15" hidden="false" customHeight="false" outlineLevel="0" collapsed="false">
      <c r="A579" s="75"/>
      <c r="B579" s="76"/>
      <c r="C579" s="77"/>
      <c r="D579" s="77"/>
      <c r="E579" s="78"/>
      <c r="F579" s="77"/>
      <c r="G579" s="77"/>
      <c r="H579" s="79" t="n">
        <f aca="false">N(H578)+IFERROR(IF(AND($A579&lt;&gt;"",$E579&lt;&gt;"",$A579&gt;=IF(Search!$E$4="",0,Search!$E$4),$A579&lt;=IF(Search!$E$5="",99999,Search!$E$5),OR(Search!$E$6="",ISNUMBER(SEARCH(Search!$E$6,$C579))),OR(Search!$E$7="All",Search!$E$7="",$D579=Search!$E$7),OR(Search!$E$8="",Search!$E$9="",AND($B579&lt;&gt;"",MOD($B579,1)&gt;=Search!$E$8,MOD($B579,1)&lt;=Search!$E$9))),1,0),0)</f>
        <v>0</v>
      </c>
      <c r="I579" s="79" t="n">
        <f aca="false">IF(H579&gt;N(H578),$E579,0)</f>
        <v>0</v>
      </c>
      <c r="J579" s="79" t="n">
        <f aca="false">IFERROR(IF(AND($A579&lt;&gt;"",$E579&lt;&gt;"",$A579&gt;=PeriodStart,$A579&lt;=PeriodEnd),$E579+ROW()/1000000,0),0)</f>
        <v>0</v>
      </c>
    </row>
    <row r="580" customFormat="false" ht="15" hidden="false" customHeight="false" outlineLevel="0" collapsed="false">
      <c r="A580" s="75"/>
      <c r="B580" s="76"/>
      <c r="C580" s="77"/>
      <c r="D580" s="77"/>
      <c r="E580" s="78"/>
      <c r="F580" s="77"/>
      <c r="G580" s="77"/>
      <c r="H580" s="79" t="n">
        <f aca="false">N(H579)+IFERROR(IF(AND($A580&lt;&gt;"",$E580&lt;&gt;"",$A580&gt;=IF(Search!$E$4="",0,Search!$E$4),$A580&lt;=IF(Search!$E$5="",99999,Search!$E$5),OR(Search!$E$6="",ISNUMBER(SEARCH(Search!$E$6,$C580))),OR(Search!$E$7="All",Search!$E$7="",$D580=Search!$E$7),OR(Search!$E$8="",Search!$E$9="",AND($B580&lt;&gt;"",MOD($B580,1)&gt;=Search!$E$8,MOD($B580,1)&lt;=Search!$E$9))),1,0),0)</f>
        <v>0</v>
      </c>
      <c r="I580" s="79" t="n">
        <f aca="false">IF(H580&gt;N(H579),$E580,0)</f>
        <v>0</v>
      </c>
      <c r="J580" s="79" t="n">
        <f aca="false">IFERROR(IF(AND($A580&lt;&gt;"",$E580&lt;&gt;"",$A580&gt;=PeriodStart,$A580&lt;=PeriodEnd),$E580+ROW()/1000000,0),0)</f>
        <v>0</v>
      </c>
    </row>
    <row r="581" customFormat="false" ht="15" hidden="false" customHeight="false" outlineLevel="0" collapsed="false">
      <c r="A581" s="75"/>
      <c r="B581" s="76"/>
      <c r="C581" s="77"/>
      <c r="D581" s="77"/>
      <c r="E581" s="78"/>
      <c r="F581" s="77"/>
      <c r="G581" s="77"/>
      <c r="H581" s="79" t="n">
        <f aca="false">N(H580)+IFERROR(IF(AND($A581&lt;&gt;"",$E581&lt;&gt;"",$A581&gt;=IF(Search!$E$4="",0,Search!$E$4),$A581&lt;=IF(Search!$E$5="",99999,Search!$E$5),OR(Search!$E$6="",ISNUMBER(SEARCH(Search!$E$6,$C581))),OR(Search!$E$7="All",Search!$E$7="",$D581=Search!$E$7),OR(Search!$E$8="",Search!$E$9="",AND($B581&lt;&gt;"",MOD($B581,1)&gt;=Search!$E$8,MOD($B581,1)&lt;=Search!$E$9))),1,0),0)</f>
        <v>0</v>
      </c>
      <c r="I581" s="79" t="n">
        <f aca="false">IF(H581&gt;N(H580),$E581,0)</f>
        <v>0</v>
      </c>
      <c r="J581" s="79" t="n">
        <f aca="false">IFERROR(IF(AND($A581&lt;&gt;"",$E581&lt;&gt;"",$A581&gt;=PeriodStart,$A581&lt;=PeriodEnd),$E581+ROW()/1000000,0),0)</f>
        <v>0</v>
      </c>
    </row>
    <row r="582" customFormat="false" ht="15" hidden="false" customHeight="false" outlineLevel="0" collapsed="false">
      <c r="A582" s="75"/>
      <c r="B582" s="76"/>
      <c r="C582" s="77"/>
      <c r="D582" s="77"/>
      <c r="E582" s="78"/>
      <c r="F582" s="77"/>
      <c r="G582" s="77"/>
      <c r="H582" s="79" t="n">
        <f aca="false">N(H581)+IFERROR(IF(AND($A582&lt;&gt;"",$E582&lt;&gt;"",$A582&gt;=IF(Search!$E$4="",0,Search!$E$4),$A582&lt;=IF(Search!$E$5="",99999,Search!$E$5),OR(Search!$E$6="",ISNUMBER(SEARCH(Search!$E$6,$C582))),OR(Search!$E$7="All",Search!$E$7="",$D582=Search!$E$7),OR(Search!$E$8="",Search!$E$9="",AND($B582&lt;&gt;"",MOD($B582,1)&gt;=Search!$E$8,MOD($B582,1)&lt;=Search!$E$9))),1,0),0)</f>
        <v>0</v>
      </c>
      <c r="I582" s="79" t="n">
        <f aca="false">IF(H582&gt;N(H581),$E582,0)</f>
        <v>0</v>
      </c>
      <c r="J582" s="79" t="n">
        <f aca="false">IFERROR(IF(AND($A582&lt;&gt;"",$E582&lt;&gt;"",$A582&gt;=PeriodStart,$A582&lt;=PeriodEnd),$E582+ROW()/1000000,0),0)</f>
        <v>0</v>
      </c>
    </row>
    <row r="583" customFormat="false" ht="15" hidden="false" customHeight="false" outlineLevel="0" collapsed="false">
      <c r="A583" s="75"/>
      <c r="B583" s="76"/>
      <c r="C583" s="77"/>
      <c r="D583" s="77"/>
      <c r="E583" s="78"/>
      <c r="F583" s="77"/>
      <c r="G583" s="77"/>
      <c r="H583" s="79" t="n">
        <f aca="false">N(H582)+IFERROR(IF(AND($A583&lt;&gt;"",$E583&lt;&gt;"",$A583&gt;=IF(Search!$E$4="",0,Search!$E$4),$A583&lt;=IF(Search!$E$5="",99999,Search!$E$5),OR(Search!$E$6="",ISNUMBER(SEARCH(Search!$E$6,$C583))),OR(Search!$E$7="All",Search!$E$7="",$D583=Search!$E$7),OR(Search!$E$8="",Search!$E$9="",AND($B583&lt;&gt;"",MOD($B583,1)&gt;=Search!$E$8,MOD($B583,1)&lt;=Search!$E$9))),1,0),0)</f>
        <v>0</v>
      </c>
      <c r="I583" s="79" t="n">
        <f aca="false">IF(H583&gt;N(H582),$E583,0)</f>
        <v>0</v>
      </c>
      <c r="J583" s="79" t="n">
        <f aca="false">IFERROR(IF(AND($A583&lt;&gt;"",$E583&lt;&gt;"",$A583&gt;=PeriodStart,$A583&lt;=PeriodEnd),$E583+ROW()/1000000,0),0)</f>
        <v>0</v>
      </c>
    </row>
    <row r="584" customFormat="false" ht="15" hidden="false" customHeight="false" outlineLevel="0" collapsed="false">
      <c r="A584" s="75"/>
      <c r="B584" s="76"/>
      <c r="C584" s="77"/>
      <c r="D584" s="77"/>
      <c r="E584" s="78"/>
      <c r="F584" s="77"/>
      <c r="G584" s="77"/>
      <c r="H584" s="79" t="n">
        <f aca="false">N(H583)+IFERROR(IF(AND($A584&lt;&gt;"",$E584&lt;&gt;"",$A584&gt;=IF(Search!$E$4="",0,Search!$E$4),$A584&lt;=IF(Search!$E$5="",99999,Search!$E$5),OR(Search!$E$6="",ISNUMBER(SEARCH(Search!$E$6,$C584))),OR(Search!$E$7="All",Search!$E$7="",$D584=Search!$E$7),OR(Search!$E$8="",Search!$E$9="",AND($B584&lt;&gt;"",MOD($B584,1)&gt;=Search!$E$8,MOD($B584,1)&lt;=Search!$E$9))),1,0),0)</f>
        <v>0</v>
      </c>
      <c r="I584" s="79" t="n">
        <f aca="false">IF(H584&gt;N(H583),$E584,0)</f>
        <v>0</v>
      </c>
      <c r="J584" s="79" t="n">
        <f aca="false">IFERROR(IF(AND($A584&lt;&gt;"",$E584&lt;&gt;"",$A584&gt;=PeriodStart,$A584&lt;=PeriodEnd),$E584+ROW()/1000000,0),0)</f>
        <v>0</v>
      </c>
    </row>
    <row r="585" customFormat="false" ht="15" hidden="false" customHeight="false" outlineLevel="0" collapsed="false">
      <c r="A585" s="75"/>
      <c r="B585" s="76"/>
      <c r="C585" s="77"/>
      <c r="D585" s="77"/>
      <c r="E585" s="78"/>
      <c r="F585" s="77"/>
      <c r="G585" s="77"/>
      <c r="H585" s="79" t="n">
        <f aca="false">N(H584)+IFERROR(IF(AND($A585&lt;&gt;"",$E585&lt;&gt;"",$A585&gt;=IF(Search!$E$4="",0,Search!$E$4),$A585&lt;=IF(Search!$E$5="",99999,Search!$E$5),OR(Search!$E$6="",ISNUMBER(SEARCH(Search!$E$6,$C585))),OR(Search!$E$7="All",Search!$E$7="",$D585=Search!$E$7),OR(Search!$E$8="",Search!$E$9="",AND($B585&lt;&gt;"",MOD($B585,1)&gt;=Search!$E$8,MOD($B585,1)&lt;=Search!$E$9))),1,0),0)</f>
        <v>0</v>
      </c>
      <c r="I585" s="79" t="n">
        <f aca="false">IF(H585&gt;N(H584),$E585,0)</f>
        <v>0</v>
      </c>
      <c r="J585" s="79" t="n">
        <f aca="false">IFERROR(IF(AND($A585&lt;&gt;"",$E585&lt;&gt;"",$A585&gt;=PeriodStart,$A585&lt;=PeriodEnd),$E585+ROW()/1000000,0),0)</f>
        <v>0</v>
      </c>
    </row>
    <row r="586" customFormat="false" ht="15" hidden="false" customHeight="false" outlineLevel="0" collapsed="false">
      <c r="A586" s="75"/>
      <c r="B586" s="76"/>
      <c r="C586" s="77"/>
      <c r="D586" s="77"/>
      <c r="E586" s="78"/>
      <c r="F586" s="77"/>
      <c r="G586" s="77"/>
      <c r="H586" s="79" t="n">
        <f aca="false">N(H585)+IFERROR(IF(AND($A586&lt;&gt;"",$E586&lt;&gt;"",$A586&gt;=IF(Search!$E$4="",0,Search!$E$4),$A586&lt;=IF(Search!$E$5="",99999,Search!$E$5),OR(Search!$E$6="",ISNUMBER(SEARCH(Search!$E$6,$C586))),OR(Search!$E$7="All",Search!$E$7="",$D586=Search!$E$7),OR(Search!$E$8="",Search!$E$9="",AND($B586&lt;&gt;"",MOD($B586,1)&gt;=Search!$E$8,MOD($B586,1)&lt;=Search!$E$9))),1,0),0)</f>
        <v>0</v>
      </c>
      <c r="I586" s="79" t="n">
        <f aca="false">IF(H586&gt;N(H585),$E586,0)</f>
        <v>0</v>
      </c>
      <c r="J586" s="79" t="n">
        <f aca="false">IFERROR(IF(AND($A586&lt;&gt;"",$E586&lt;&gt;"",$A586&gt;=PeriodStart,$A586&lt;=PeriodEnd),$E586+ROW()/1000000,0),0)</f>
        <v>0</v>
      </c>
    </row>
    <row r="587" customFormat="false" ht="15" hidden="false" customHeight="false" outlineLevel="0" collapsed="false">
      <c r="A587" s="75"/>
      <c r="B587" s="76"/>
      <c r="C587" s="77"/>
      <c r="D587" s="77"/>
      <c r="E587" s="78"/>
      <c r="F587" s="77"/>
      <c r="G587" s="77"/>
      <c r="H587" s="79" t="n">
        <f aca="false">N(H586)+IFERROR(IF(AND($A587&lt;&gt;"",$E587&lt;&gt;"",$A587&gt;=IF(Search!$E$4="",0,Search!$E$4),$A587&lt;=IF(Search!$E$5="",99999,Search!$E$5),OR(Search!$E$6="",ISNUMBER(SEARCH(Search!$E$6,$C587))),OR(Search!$E$7="All",Search!$E$7="",$D587=Search!$E$7),OR(Search!$E$8="",Search!$E$9="",AND($B587&lt;&gt;"",MOD($B587,1)&gt;=Search!$E$8,MOD($B587,1)&lt;=Search!$E$9))),1,0),0)</f>
        <v>0</v>
      </c>
      <c r="I587" s="79" t="n">
        <f aca="false">IF(H587&gt;N(H586),$E587,0)</f>
        <v>0</v>
      </c>
      <c r="J587" s="79" t="n">
        <f aca="false">IFERROR(IF(AND($A587&lt;&gt;"",$E587&lt;&gt;"",$A587&gt;=PeriodStart,$A587&lt;=PeriodEnd),$E587+ROW()/1000000,0),0)</f>
        <v>0</v>
      </c>
    </row>
    <row r="588" customFormat="false" ht="15" hidden="false" customHeight="false" outlineLevel="0" collapsed="false">
      <c r="A588" s="75"/>
      <c r="B588" s="76"/>
      <c r="C588" s="77"/>
      <c r="D588" s="77"/>
      <c r="E588" s="78"/>
      <c r="F588" s="77"/>
      <c r="G588" s="77"/>
      <c r="H588" s="79" t="n">
        <f aca="false">N(H587)+IFERROR(IF(AND($A588&lt;&gt;"",$E588&lt;&gt;"",$A588&gt;=IF(Search!$E$4="",0,Search!$E$4),$A588&lt;=IF(Search!$E$5="",99999,Search!$E$5),OR(Search!$E$6="",ISNUMBER(SEARCH(Search!$E$6,$C588))),OR(Search!$E$7="All",Search!$E$7="",$D588=Search!$E$7),OR(Search!$E$8="",Search!$E$9="",AND($B588&lt;&gt;"",MOD($B588,1)&gt;=Search!$E$8,MOD($B588,1)&lt;=Search!$E$9))),1,0),0)</f>
        <v>0</v>
      </c>
      <c r="I588" s="79" t="n">
        <f aca="false">IF(H588&gt;N(H587),$E588,0)</f>
        <v>0</v>
      </c>
      <c r="J588" s="79" t="n">
        <f aca="false">IFERROR(IF(AND($A588&lt;&gt;"",$E588&lt;&gt;"",$A588&gt;=PeriodStart,$A588&lt;=PeriodEnd),$E588+ROW()/1000000,0),0)</f>
        <v>0</v>
      </c>
    </row>
    <row r="589" customFormat="false" ht="15" hidden="false" customHeight="false" outlineLevel="0" collapsed="false">
      <c r="A589" s="75"/>
      <c r="B589" s="76"/>
      <c r="C589" s="77"/>
      <c r="D589" s="77"/>
      <c r="E589" s="78"/>
      <c r="F589" s="77"/>
      <c r="G589" s="77"/>
      <c r="H589" s="79" t="n">
        <f aca="false">N(H588)+IFERROR(IF(AND($A589&lt;&gt;"",$E589&lt;&gt;"",$A589&gt;=IF(Search!$E$4="",0,Search!$E$4),$A589&lt;=IF(Search!$E$5="",99999,Search!$E$5),OR(Search!$E$6="",ISNUMBER(SEARCH(Search!$E$6,$C589))),OR(Search!$E$7="All",Search!$E$7="",$D589=Search!$E$7),OR(Search!$E$8="",Search!$E$9="",AND($B589&lt;&gt;"",MOD($B589,1)&gt;=Search!$E$8,MOD($B589,1)&lt;=Search!$E$9))),1,0),0)</f>
        <v>0</v>
      </c>
      <c r="I589" s="79" t="n">
        <f aca="false">IF(H589&gt;N(H588),$E589,0)</f>
        <v>0</v>
      </c>
      <c r="J589" s="79" t="n">
        <f aca="false">IFERROR(IF(AND($A589&lt;&gt;"",$E589&lt;&gt;"",$A589&gt;=PeriodStart,$A589&lt;=PeriodEnd),$E589+ROW()/1000000,0),0)</f>
        <v>0</v>
      </c>
    </row>
    <row r="590" customFormat="false" ht="15" hidden="false" customHeight="false" outlineLevel="0" collapsed="false">
      <c r="A590" s="75"/>
      <c r="B590" s="76"/>
      <c r="C590" s="77"/>
      <c r="D590" s="77"/>
      <c r="E590" s="78"/>
      <c r="F590" s="77"/>
      <c r="G590" s="77"/>
      <c r="H590" s="79" t="n">
        <f aca="false">N(H589)+IFERROR(IF(AND($A590&lt;&gt;"",$E590&lt;&gt;"",$A590&gt;=IF(Search!$E$4="",0,Search!$E$4),$A590&lt;=IF(Search!$E$5="",99999,Search!$E$5),OR(Search!$E$6="",ISNUMBER(SEARCH(Search!$E$6,$C590))),OR(Search!$E$7="All",Search!$E$7="",$D590=Search!$E$7),OR(Search!$E$8="",Search!$E$9="",AND($B590&lt;&gt;"",MOD($B590,1)&gt;=Search!$E$8,MOD($B590,1)&lt;=Search!$E$9))),1,0),0)</f>
        <v>0</v>
      </c>
      <c r="I590" s="79" t="n">
        <f aca="false">IF(H590&gt;N(H589),$E590,0)</f>
        <v>0</v>
      </c>
      <c r="J590" s="79" t="n">
        <f aca="false">IFERROR(IF(AND($A590&lt;&gt;"",$E590&lt;&gt;"",$A590&gt;=PeriodStart,$A590&lt;=PeriodEnd),$E590+ROW()/1000000,0),0)</f>
        <v>0</v>
      </c>
    </row>
    <row r="591" customFormat="false" ht="15" hidden="false" customHeight="false" outlineLevel="0" collapsed="false">
      <c r="A591" s="75"/>
      <c r="B591" s="76"/>
      <c r="C591" s="77"/>
      <c r="D591" s="77"/>
      <c r="E591" s="78"/>
      <c r="F591" s="77"/>
      <c r="G591" s="77"/>
      <c r="H591" s="79" t="n">
        <f aca="false">N(H590)+IFERROR(IF(AND($A591&lt;&gt;"",$E591&lt;&gt;"",$A591&gt;=IF(Search!$E$4="",0,Search!$E$4),$A591&lt;=IF(Search!$E$5="",99999,Search!$E$5),OR(Search!$E$6="",ISNUMBER(SEARCH(Search!$E$6,$C591))),OR(Search!$E$7="All",Search!$E$7="",$D591=Search!$E$7),OR(Search!$E$8="",Search!$E$9="",AND($B591&lt;&gt;"",MOD($B591,1)&gt;=Search!$E$8,MOD($B591,1)&lt;=Search!$E$9))),1,0),0)</f>
        <v>0</v>
      </c>
      <c r="I591" s="79" t="n">
        <f aca="false">IF(H591&gt;N(H590),$E591,0)</f>
        <v>0</v>
      </c>
      <c r="J591" s="79" t="n">
        <f aca="false">IFERROR(IF(AND($A591&lt;&gt;"",$E591&lt;&gt;"",$A591&gt;=PeriodStart,$A591&lt;=PeriodEnd),$E591+ROW()/1000000,0),0)</f>
        <v>0</v>
      </c>
    </row>
    <row r="592" customFormat="false" ht="15" hidden="false" customHeight="false" outlineLevel="0" collapsed="false">
      <c r="A592" s="75"/>
      <c r="B592" s="76"/>
      <c r="C592" s="77"/>
      <c r="D592" s="77"/>
      <c r="E592" s="78"/>
      <c r="F592" s="77"/>
      <c r="G592" s="77"/>
      <c r="H592" s="79" t="n">
        <f aca="false">N(H591)+IFERROR(IF(AND($A592&lt;&gt;"",$E592&lt;&gt;"",$A592&gt;=IF(Search!$E$4="",0,Search!$E$4),$A592&lt;=IF(Search!$E$5="",99999,Search!$E$5),OR(Search!$E$6="",ISNUMBER(SEARCH(Search!$E$6,$C592))),OR(Search!$E$7="All",Search!$E$7="",$D592=Search!$E$7),OR(Search!$E$8="",Search!$E$9="",AND($B592&lt;&gt;"",MOD($B592,1)&gt;=Search!$E$8,MOD($B592,1)&lt;=Search!$E$9))),1,0),0)</f>
        <v>0</v>
      </c>
      <c r="I592" s="79" t="n">
        <f aca="false">IF(H592&gt;N(H591),$E592,0)</f>
        <v>0</v>
      </c>
      <c r="J592" s="79" t="n">
        <f aca="false">IFERROR(IF(AND($A592&lt;&gt;"",$E592&lt;&gt;"",$A592&gt;=PeriodStart,$A592&lt;=PeriodEnd),$E592+ROW()/1000000,0),0)</f>
        <v>0</v>
      </c>
    </row>
    <row r="593" customFormat="false" ht="15" hidden="false" customHeight="false" outlineLevel="0" collapsed="false">
      <c r="A593" s="75"/>
      <c r="B593" s="76"/>
      <c r="C593" s="77"/>
      <c r="D593" s="77"/>
      <c r="E593" s="78"/>
      <c r="F593" s="77"/>
      <c r="G593" s="77"/>
      <c r="H593" s="79" t="n">
        <f aca="false">N(H592)+IFERROR(IF(AND($A593&lt;&gt;"",$E593&lt;&gt;"",$A593&gt;=IF(Search!$E$4="",0,Search!$E$4),$A593&lt;=IF(Search!$E$5="",99999,Search!$E$5),OR(Search!$E$6="",ISNUMBER(SEARCH(Search!$E$6,$C593))),OR(Search!$E$7="All",Search!$E$7="",$D593=Search!$E$7),OR(Search!$E$8="",Search!$E$9="",AND($B593&lt;&gt;"",MOD($B593,1)&gt;=Search!$E$8,MOD($B593,1)&lt;=Search!$E$9))),1,0),0)</f>
        <v>0</v>
      </c>
      <c r="I593" s="79" t="n">
        <f aca="false">IF(H593&gt;N(H592),$E593,0)</f>
        <v>0</v>
      </c>
      <c r="J593" s="79" t="n">
        <f aca="false">IFERROR(IF(AND($A593&lt;&gt;"",$E593&lt;&gt;"",$A593&gt;=PeriodStart,$A593&lt;=PeriodEnd),$E593+ROW()/1000000,0),0)</f>
        <v>0</v>
      </c>
    </row>
    <row r="594" customFormat="false" ht="15" hidden="false" customHeight="false" outlineLevel="0" collapsed="false">
      <c r="A594" s="75"/>
      <c r="B594" s="76"/>
      <c r="C594" s="77"/>
      <c r="D594" s="77"/>
      <c r="E594" s="78"/>
      <c r="F594" s="77"/>
      <c r="G594" s="77"/>
      <c r="H594" s="79" t="n">
        <f aca="false">N(H593)+IFERROR(IF(AND($A594&lt;&gt;"",$E594&lt;&gt;"",$A594&gt;=IF(Search!$E$4="",0,Search!$E$4),$A594&lt;=IF(Search!$E$5="",99999,Search!$E$5),OR(Search!$E$6="",ISNUMBER(SEARCH(Search!$E$6,$C594))),OR(Search!$E$7="All",Search!$E$7="",$D594=Search!$E$7),OR(Search!$E$8="",Search!$E$9="",AND($B594&lt;&gt;"",MOD($B594,1)&gt;=Search!$E$8,MOD($B594,1)&lt;=Search!$E$9))),1,0),0)</f>
        <v>0</v>
      </c>
      <c r="I594" s="79" t="n">
        <f aca="false">IF(H594&gt;N(H593),$E594,0)</f>
        <v>0</v>
      </c>
      <c r="J594" s="79" t="n">
        <f aca="false">IFERROR(IF(AND($A594&lt;&gt;"",$E594&lt;&gt;"",$A594&gt;=PeriodStart,$A594&lt;=PeriodEnd),$E594+ROW()/1000000,0),0)</f>
        <v>0</v>
      </c>
    </row>
    <row r="595" customFormat="false" ht="15" hidden="false" customHeight="false" outlineLevel="0" collapsed="false">
      <c r="A595" s="75"/>
      <c r="B595" s="76"/>
      <c r="C595" s="77"/>
      <c r="D595" s="77"/>
      <c r="E595" s="78"/>
      <c r="F595" s="77"/>
      <c r="G595" s="77"/>
      <c r="H595" s="79" t="n">
        <f aca="false">N(H594)+IFERROR(IF(AND($A595&lt;&gt;"",$E595&lt;&gt;"",$A595&gt;=IF(Search!$E$4="",0,Search!$E$4),$A595&lt;=IF(Search!$E$5="",99999,Search!$E$5),OR(Search!$E$6="",ISNUMBER(SEARCH(Search!$E$6,$C595))),OR(Search!$E$7="All",Search!$E$7="",$D595=Search!$E$7),OR(Search!$E$8="",Search!$E$9="",AND($B595&lt;&gt;"",MOD($B595,1)&gt;=Search!$E$8,MOD($B595,1)&lt;=Search!$E$9))),1,0),0)</f>
        <v>0</v>
      </c>
      <c r="I595" s="79" t="n">
        <f aca="false">IF(H595&gt;N(H594),$E595,0)</f>
        <v>0</v>
      </c>
      <c r="J595" s="79" t="n">
        <f aca="false">IFERROR(IF(AND($A595&lt;&gt;"",$E595&lt;&gt;"",$A595&gt;=PeriodStart,$A595&lt;=PeriodEnd),$E595+ROW()/1000000,0),0)</f>
        <v>0</v>
      </c>
    </row>
    <row r="596" customFormat="false" ht="15" hidden="false" customHeight="false" outlineLevel="0" collapsed="false">
      <c r="A596" s="75"/>
      <c r="B596" s="76"/>
      <c r="C596" s="77"/>
      <c r="D596" s="77"/>
      <c r="E596" s="78"/>
      <c r="F596" s="77"/>
      <c r="G596" s="77"/>
      <c r="H596" s="79" t="n">
        <f aca="false">N(H595)+IFERROR(IF(AND($A596&lt;&gt;"",$E596&lt;&gt;"",$A596&gt;=IF(Search!$E$4="",0,Search!$E$4),$A596&lt;=IF(Search!$E$5="",99999,Search!$E$5),OR(Search!$E$6="",ISNUMBER(SEARCH(Search!$E$6,$C596))),OR(Search!$E$7="All",Search!$E$7="",$D596=Search!$E$7),OR(Search!$E$8="",Search!$E$9="",AND($B596&lt;&gt;"",MOD($B596,1)&gt;=Search!$E$8,MOD($B596,1)&lt;=Search!$E$9))),1,0),0)</f>
        <v>0</v>
      </c>
      <c r="I596" s="79" t="n">
        <f aca="false">IF(H596&gt;N(H595),$E596,0)</f>
        <v>0</v>
      </c>
      <c r="J596" s="79" t="n">
        <f aca="false">IFERROR(IF(AND($A596&lt;&gt;"",$E596&lt;&gt;"",$A596&gt;=PeriodStart,$A596&lt;=PeriodEnd),$E596+ROW()/1000000,0),0)</f>
        <v>0</v>
      </c>
    </row>
    <row r="597" customFormat="false" ht="15" hidden="false" customHeight="false" outlineLevel="0" collapsed="false">
      <c r="A597" s="75"/>
      <c r="B597" s="76"/>
      <c r="C597" s="77"/>
      <c r="D597" s="77"/>
      <c r="E597" s="78"/>
      <c r="F597" s="77"/>
      <c r="G597" s="77"/>
      <c r="H597" s="79" t="n">
        <f aca="false">N(H596)+IFERROR(IF(AND($A597&lt;&gt;"",$E597&lt;&gt;"",$A597&gt;=IF(Search!$E$4="",0,Search!$E$4),$A597&lt;=IF(Search!$E$5="",99999,Search!$E$5),OR(Search!$E$6="",ISNUMBER(SEARCH(Search!$E$6,$C597))),OR(Search!$E$7="All",Search!$E$7="",$D597=Search!$E$7),OR(Search!$E$8="",Search!$E$9="",AND($B597&lt;&gt;"",MOD($B597,1)&gt;=Search!$E$8,MOD($B597,1)&lt;=Search!$E$9))),1,0),0)</f>
        <v>0</v>
      </c>
      <c r="I597" s="79" t="n">
        <f aca="false">IF(H597&gt;N(H596),$E597,0)</f>
        <v>0</v>
      </c>
      <c r="J597" s="79" t="n">
        <f aca="false">IFERROR(IF(AND($A597&lt;&gt;"",$E597&lt;&gt;"",$A597&gt;=PeriodStart,$A597&lt;=PeriodEnd),$E597+ROW()/1000000,0),0)</f>
        <v>0</v>
      </c>
    </row>
    <row r="598" customFormat="false" ht="15" hidden="false" customHeight="false" outlineLevel="0" collapsed="false">
      <c r="A598" s="75"/>
      <c r="B598" s="76"/>
      <c r="C598" s="77"/>
      <c r="D598" s="77"/>
      <c r="E598" s="78"/>
      <c r="F598" s="77"/>
      <c r="G598" s="77"/>
      <c r="H598" s="79" t="n">
        <f aca="false">N(H597)+IFERROR(IF(AND($A598&lt;&gt;"",$E598&lt;&gt;"",$A598&gt;=IF(Search!$E$4="",0,Search!$E$4),$A598&lt;=IF(Search!$E$5="",99999,Search!$E$5),OR(Search!$E$6="",ISNUMBER(SEARCH(Search!$E$6,$C598))),OR(Search!$E$7="All",Search!$E$7="",$D598=Search!$E$7),OR(Search!$E$8="",Search!$E$9="",AND($B598&lt;&gt;"",MOD($B598,1)&gt;=Search!$E$8,MOD($B598,1)&lt;=Search!$E$9))),1,0),0)</f>
        <v>0</v>
      </c>
      <c r="I598" s="79" t="n">
        <f aca="false">IF(H598&gt;N(H597),$E598,0)</f>
        <v>0</v>
      </c>
      <c r="J598" s="79" t="n">
        <f aca="false">IFERROR(IF(AND($A598&lt;&gt;"",$E598&lt;&gt;"",$A598&gt;=PeriodStart,$A598&lt;=PeriodEnd),$E598+ROW()/1000000,0),0)</f>
        <v>0</v>
      </c>
    </row>
    <row r="599" customFormat="false" ht="15" hidden="false" customHeight="false" outlineLevel="0" collapsed="false">
      <c r="A599" s="75"/>
      <c r="B599" s="76"/>
      <c r="C599" s="77"/>
      <c r="D599" s="77"/>
      <c r="E599" s="78"/>
      <c r="F599" s="77"/>
      <c r="G599" s="77"/>
      <c r="H599" s="79" t="n">
        <f aca="false">N(H598)+IFERROR(IF(AND($A599&lt;&gt;"",$E599&lt;&gt;"",$A599&gt;=IF(Search!$E$4="",0,Search!$E$4),$A599&lt;=IF(Search!$E$5="",99999,Search!$E$5),OR(Search!$E$6="",ISNUMBER(SEARCH(Search!$E$6,$C599))),OR(Search!$E$7="All",Search!$E$7="",$D599=Search!$E$7),OR(Search!$E$8="",Search!$E$9="",AND($B599&lt;&gt;"",MOD($B599,1)&gt;=Search!$E$8,MOD($B599,1)&lt;=Search!$E$9))),1,0),0)</f>
        <v>0</v>
      </c>
      <c r="I599" s="79" t="n">
        <f aca="false">IF(H599&gt;N(H598),$E599,0)</f>
        <v>0</v>
      </c>
      <c r="J599" s="79" t="n">
        <f aca="false">IFERROR(IF(AND($A599&lt;&gt;"",$E599&lt;&gt;"",$A599&gt;=PeriodStart,$A599&lt;=PeriodEnd),$E599+ROW()/1000000,0),0)</f>
        <v>0</v>
      </c>
    </row>
    <row r="600" customFormat="false" ht="15" hidden="false" customHeight="false" outlineLevel="0" collapsed="false">
      <c r="A600" s="75"/>
      <c r="B600" s="76"/>
      <c r="C600" s="77"/>
      <c r="D600" s="77"/>
      <c r="E600" s="78"/>
      <c r="F600" s="77"/>
      <c r="G600" s="77"/>
      <c r="H600" s="79" t="n">
        <f aca="false">N(H599)+IFERROR(IF(AND($A600&lt;&gt;"",$E600&lt;&gt;"",$A600&gt;=IF(Search!$E$4="",0,Search!$E$4),$A600&lt;=IF(Search!$E$5="",99999,Search!$E$5),OR(Search!$E$6="",ISNUMBER(SEARCH(Search!$E$6,$C600))),OR(Search!$E$7="All",Search!$E$7="",$D600=Search!$E$7),OR(Search!$E$8="",Search!$E$9="",AND($B600&lt;&gt;"",MOD($B600,1)&gt;=Search!$E$8,MOD($B600,1)&lt;=Search!$E$9))),1,0),0)</f>
        <v>0</v>
      </c>
      <c r="I600" s="79" t="n">
        <f aca="false">IF(H600&gt;N(H599),$E600,0)</f>
        <v>0</v>
      </c>
      <c r="J600" s="79" t="n">
        <f aca="false">IFERROR(IF(AND($A600&lt;&gt;"",$E600&lt;&gt;"",$A600&gt;=PeriodStart,$A600&lt;=PeriodEnd),$E600+ROW()/1000000,0),0)</f>
        <v>0</v>
      </c>
    </row>
    <row r="601" customFormat="false" ht="15" hidden="false" customHeight="false" outlineLevel="0" collapsed="false">
      <c r="A601" s="75"/>
      <c r="B601" s="76"/>
      <c r="C601" s="77"/>
      <c r="D601" s="77"/>
      <c r="E601" s="78"/>
      <c r="F601" s="77"/>
      <c r="G601" s="77"/>
      <c r="H601" s="79" t="n">
        <f aca="false">N(H600)+IFERROR(IF(AND($A601&lt;&gt;"",$E601&lt;&gt;"",$A601&gt;=IF(Search!$E$4="",0,Search!$E$4),$A601&lt;=IF(Search!$E$5="",99999,Search!$E$5),OR(Search!$E$6="",ISNUMBER(SEARCH(Search!$E$6,$C601))),OR(Search!$E$7="All",Search!$E$7="",$D601=Search!$E$7),OR(Search!$E$8="",Search!$E$9="",AND($B601&lt;&gt;"",MOD($B601,1)&gt;=Search!$E$8,MOD($B601,1)&lt;=Search!$E$9))),1,0),0)</f>
        <v>0</v>
      </c>
      <c r="I601" s="79" t="n">
        <f aca="false">IF(H601&gt;N(H600),$E601,0)</f>
        <v>0</v>
      </c>
      <c r="J601" s="79" t="n">
        <f aca="false">IFERROR(IF(AND($A601&lt;&gt;"",$E601&lt;&gt;"",$A601&gt;=PeriodStart,$A601&lt;=PeriodEnd),$E601+ROW()/1000000,0),0)</f>
        <v>0</v>
      </c>
    </row>
    <row r="602" customFormat="false" ht="15" hidden="false" customHeight="false" outlineLevel="0" collapsed="false">
      <c r="A602" s="75"/>
      <c r="B602" s="76"/>
      <c r="C602" s="77"/>
      <c r="D602" s="77"/>
      <c r="E602" s="78"/>
      <c r="F602" s="77"/>
      <c r="G602" s="77"/>
      <c r="H602" s="79" t="n">
        <f aca="false">N(H601)+IFERROR(IF(AND($A602&lt;&gt;"",$E602&lt;&gt;"",$A602&gt;=IF(Search!$E$4="",0,Search!$E$4),$A602&lt;=IF(Search!$E$5="",99999,Search!$E$5),OR(Search!$E$6="",ISNUMBER(SEARCH(Search!$E$6,$C602))),OR(Search!$E$7="All",Search!$E$7="",$D602=Search!$E$7),OR(Search!$E$8="",Search!$E$9="",AND($B602&lt;&gt;"",MOD($B602,1)&gt;=Search!$E$8,MOD($B602,1)&lt;=Search!$E$9))),1,0),0)</f>
        <v>0</v>
      </c>
      <c r="I602" s="79" t="n">
        <f aca="false">IF(H602&gt;N(H601),$E602,0)</f>
        <v>0</v>
      </c>
      <c r="J602" s="79" t="n">
        <f aca="false">IFERROR(IF(AND($A602&lt;&gt;"",$E602&lt;&gt;"",$A602&gt;=PeriodStart,$A602&lt;=PeriodEnd),$E602+ROW()/1000000,0),0)</f>
        <v>0</v>
      </c>
    </row>
    <row r="603" customFormat="false" ht="15" hidden="false" customHeight="false" outlineLevel="0" collapsed="false">
      <c r="A603" s="75"/>
      <c r="B603" s="76"/>
      <c r="C603" s="77"/>
      <c r="D603" s="77"/>
      <c r="E603" s="78"/>
      <c r="F603" s="77"/>
      <c r="G603" s="77"/>
      <c r="H603" s="79" t="n">
        <f aca="false">N(H602)+IFERROR(IF(AND($A603&lt;&gt;"",$E603&lt;&gt;"",$A603&gt;=IF(Search!$E$4="",0,Search!$E$4),$A603&lt;=IF(Search!$E$5="",99999,Search!$E$5),OR(Search!$E$6="",ISNUMBER(SEARCH(Search!$E$6,$C603))),OR(Search!$E$7="All",Search!$E$7="",$D603=Search!$E$7),OR(Search!$E$8="",Search!$E$9="",AND($B603&lt;&gt;"",MOD($B603,1)&gt;=Search!$E$8,MOD($B603,1)&lt;=Search!$E$9))),1,0),0)</f>
        <v>0</v>
      </c>
      <c r="I603" s="79" t="n">
        <f aca="false">IF(H603&gt;N(H602),$E603,0)</f>
        <v>0</v>
      </c>
      <c r="J603" s="79" t="n">
        <f aca="false">IFERROR(IF(AND($A603&lt;&gt;"",$E603&lt;&gt;"",$A603&gt;=PeriodStart,$A603&lt;=PeriodEnd),$E603+ROW()/1000000,0),0)</f>
        <v>0</v>
      </c>
    </row>
    <row r="604" customFormat="false" ht="15" hidden="false" customHeight="false" outlineLevel="0" collapsed="false">
      <c r="A604" s="75"/>
      <c r="B604" s="76"/>
      <c r="C604" s="77"/>
      <c r="D604" s="77"/>
      <c r="E604" s="78"/>
      <c r="F604" s="77"/>
      <c r="G604" s="77"/>
      <c r="H604" s="79" t="n">
        <f aca="false">N(H603)+IFERROR(IF(AND($A604&lt;&gt;"",$E604&lt;&gt;"",$A604&gt;=IF(Search!$E$4="",0,Search!$E$4),$A604&lt;=IF(Search!$E$5="",99999,Search!$E$5),OR(Search!$E$6="",ISNUMBER(SEARCH(Search!$E$6,$C604))),OR(Search!$E$7="All",Search!$E$7="",$D604=Search!$E$7),OR(Search!$E$8="",Search!$E$9="",AND($B604&lt;&gt;"",MOD($B604,1)&gt;=Search!$E$8,MOD($B604,1)&lt;=Search!$E$9))),1,0),0)</f>
        <v>0</v>
      </c>
      <c r="I604" s="79" t="n">
        <f aca="false">IF(H604&gt;N(H603),$E604,0)</f>
        <v>0</v>
      </c>
      <c r="J604" s="79" t="n">
        <f aca="false">IFERROR(IF(AND($A604&lt;&gt;"",$E604&lt;&gt;"",$A604&gt;=PeriodStart,$A604&lt;=PeriodEnd),$E604+ROW()/1000000,0),0)</f>
        <v>0</v>
      </c>
    </row>
    <row r="605" customFormat="false" ht="15" hidden="false" customHeight="false" outlineLevel="0" collapsed="false">
      <c r="A605" s="75"/>
      <c r="B605" s="76"/>
      <c r="C605" s="77"/>
      <c r="D605" s="77"/>
      <c r="E605" s="78"/>
      <c r="F605" s="77"/>
      <c r="G605" s="77"/>
      <c r="H605" s="79" t="n">
        <f aca="false">N(H604)+IFERROR(IF(AND($A605&lt;&gt;"",$E605&lt;&gt;"",$A605&gt;=IF(Search!$E$4="",0,Search!$E$4),$A605&lt;=IF(Search!$E$5="",99999,Search!$E$5),OR(Search!$E$6="",ISNUMBER(SEARCH(Search!$E$6,$C605))),OR(Search!$E$7="All",Search!$E$7="",$D605=Search!$E$7),OR(Search!$E$8="",Search!$E$9="",AND($B605&lt;&gt;"",MOD($B605,1)&gt;=Search!$E$8,MOD($B605,1)&lt;=Search!$E$9))),1,0),0)</f>
        <v>0</v>
      </c>
      <c r="I605" s="79" t="n">
        <f aca="false">IF(H605&gt;N(H604),$E605,0)</f>
        <v>0</v>
      </c>
      <c r="J605" s="79" t="n">
        <f aca="false">IFERROR(IF(AND($A605&lt;&gt;"",$E605&lt;&gt;"",$A605&gt;=PeriodStart,$A605&lt;=PeriodEnd),$E605+ROW()/1000000,0),0)</f>
        <v>0</v>
      </c>
    </row>
    <row r="606" customFormat="false" ht="15" hidden="false" customHeight="false" outlineLevel="0" collapsed="false">
      <c r="A606" s="75"/>
      <c r="B606" s="76"/>
      <c r="C606" s="77"/>
      <c r="D606" s="77"/>
      <c r="E606" s="78"/>
      <c r="F606" s="77"/>
      <c r="G606" s="77"/>
      <c r="H606" s="79" t="n">
        <f aca="false">N(H605)+IFERROR(IF(AND($A606&lt;&gt;"",$E606&lt;&gt;"",$A606&gt;=IF(Search!$E$4="",0,Search!$E$4),$A606&lt;=IF(Search!$E$5="",99999,Search!$E$5),OR(Search!$E$6="",ISNUMBER(SEARCH(Search!$E$6,$C606))),OR(Search!$E$7="All",Search!$E$7="",$D606=Search!$E$7),OR(Search!$E$8="",Search!$E$9="",AND($B606&lt;&gt;"",MOD($B606,1)&gt;=Search!$E$8,MOD($B606,1)&lt;=Search!$E$9))),1,0),0)</f>
        <v>0</v>
      </c>
      <c r="I606" s="79" t="n">
        <f aca="false">IF(H606&gt;N(H605),$E606,0)</f>
        <v>0</v>
      </c>
      <c r="J606" s="79" t="n">
        <f aca="false">IFERROR(IF(AND($A606&lt;&gt;"",$E606&lt;&gt;"",$A606&gt;=PeriodStart,$A606&lt;=PeriodEnd),$E606+ROW()/1000000,0),0)</f>
        <v>0</v>
      </c>
    </row>
    <row r="607" customFormat="false" ht="15" hidden="false" customHeight="false" outlineLevel="0" collapsed="false">
      <c r="A607" s="75"/>
      <c r="B607" s="76"/>
      <c r="C607" s="77"/>
      <c r="D607" s="77"/>
      <c r="E607" s="78"/>
      <c r="F607" s="77"/>
      <c r="G607" s="77"/>
      <c r="H607" s="79" t="n">
        <f aca="false">N(H606)+IFERROR(IF(AND($A607&lt;&gt;"",$E607&lt;&gt;"",$A607&gt;=IF(Search!$E$4="",0,Search!$E$4),$A607&lt;=IF(Search!$E$5="",99999,Search!$E$5),OR(Search!$E$6="",ISNUMBER(SEARCH(Search!$E$6,$C607))),OR(Search!$E$7="All",Search!$E$7="",$D607=Search!$E$7),OR(Search!$E$8="",Search!$E$9="",AND($B607&lt;&gt;"",MOD($B607,1)&gt;=Search!$E$8,MOD($B607,1)&lt;=Search!$E$9))),1,0),0)</f>
        <v>0</v>
      </c>
      <c r="I607" s="79" t="n">
        <f aca="false">IF(H607&gt;N(H606),$E607,0)</f>
        <v>0</v>
      </c>
      <c r="J607" s="79" t="n">
        <f aca="false">IFERROR(IF(AND($A607&lt;&gt;"",$E607&lt;&gt;"",$A607&gt;=PeriodStart,$A607&lt;=PeriodEnd),$E607+ROW()/1000000,0),0)</f>
        <v>0</v>
      </c>
    </row>
    <row r="608" customFormat="false" ht="15" hidden="false" customHeight="false" outlineLevel="0" collapsed="false">
      <c r="A608" s="75"/>
      <c r="B608" s="76"/>
      <c r="C608" s="77"/>
      <c r="D608" s="77"/>
      <c r="E608" s="78"/>
      <c r="F608" s="77"/>
      <c r="G608" s="77"/>
      <c r="H608" s="79" t="n">
        <f aca="false">N(H607)+IFERROR(IF(AND($A608&lt;&gt;"",$E608&lt;&gt;"",$A608&gt;=IF(Search!$E$4="",0,Search!$E$4),$A608&lt;=IF(Search!$E$5="",99999,Search!$E$5),OR(Search!$E$6="",ISNUMBER(SEARCH(Search!$E$6,$C608))),OR(Search!$E$7="All",Search!$E$7="",$D608=Search!$E$7),OR(Search!$E$8="",Search!$E$9="",AND($B608&lt;&gt;"",MOD($B608,1)&gt;=Search!$E$8,MOD($B608,1)&lt;=Search!$E$9))),1,0),0)</f>
        <v>0</v>
      </c>
      <c r="I608" s="79" t="n">
        <f aca="false">IF(H608&gt;N(H607),$E608,0)</f>
        <v>0</v>
      </c>
      <c r="J608" s="79" t="n">
        <f aca="false">IFERROR(IF(AND($A608&lt;&gt;"",$E608&lt;&gt;"",$A608&gt;=PeriodStart,$A608&lt;=PeriodEnd),$E608+ROW()/1000000,0),0)</f>
        <v>0</v>
      </c>
    </row>
    <row r="609" customFormat="false" ht="15" hidden="false" customHeight="false" outlineLevel="0" collapsed="false">
      <c r="A609" s="75"/>
      <c r="B609" s="76"/>
      <c r="C609" s="77"/>
      <c r="D609" s="77"/>
      <c r="E609" s="78"/>
      <c r="F609" s="77"/>
      <c r="G609" s="77"/>
      <c r="H609" s="79" t="n">
        <f aca="false">N(H608)+IFERROR(IF(AND($A609&lt;&gt;"",$E609&lt;&gt;"",$A609&gt;=IF(Search!$E$4="",0,Search!$E$4),$A609&lt;=IF(Search!$E$5="",99999,Search!$E$5),OR(Search!$E$6="",ISNUMBER(SEARCH(Search!$E$6,$C609))),OR(Search!$E$7="All",Search!$E$7="",$D609=Search!$E$7),OR(Search!$E$8="",Search!$E$9="",AND($B609&lt;&gt;"",MOD($B609,1)&gt;=Search!$E$8,MOD($B609,1)&lt;=Search!$E$9))),1,0),0)</f>
        <v>0</v>
      </c>
      <c r="I609" s="79" t="n">
        <f aca="false">IF(H609&gt;N(H608),$E609,0)</f>
        <v>0</v>
      </c>
      <c r="J609" s="79" t="n">
        <f aca="false">IFERROR(IF(AND($A609&lt;&gt;"",$E609&lt;&gt;"",$A609&gt;=PeriodStart,$A609&lt;=PeriodEnd),$E609+ROW()/1000000,0),0)</f>
        <v>0</v>
      </c>
    </row>
    <row r="610" customFormat="false" ht="15" hidden="false" customHeight="false" outlineLevel="0" collapsed="false">
      <c r="A610" s="75"/>
      <c r="B610" s="76"/>
      <c r="C610" s="77"/>
      <c r="D610" s="77"/>
      <c r="E610" s="78"/>
      <c r="F610" s="77"/>
      <c r="G610" s="77"/>
      <c r="H610" s="79" t="n">
        <f aca="false">N(H609)+IFERROR(IF(AND($A610&lt;&gt;"",$E610&lt;&gt;"",$A610&gt;=IF(Search!$E$4="",0,Search!$E$4),$A610&lt;=IF(Search!$E$5="",99999,Search!$E$5),OR(Search!$E$6="",ISNUMBER(SEARCH(Search!$E$6,$C610))),OR(Search!$E$7="All",Search!$E$7="",$D610=Search!$E$7),OR(Search!$E$8="",Search!$E$9="",AND($B610&lt;&gt;"",MOD($B610,1)&gt;=Search!$E$8,MOD($B610,1)&lt;=Search!$E$9))),1,0),0)</f>
        <v>0</v>
      </c>
      <c r="I610" s="79" t="n">
        <f aca="false">IF(H610&gt;N(H609),$E610,0)</f>
        <v>0</v>
      </c>
      <c r="J610" s="79" t="n">
        <f aca="false">IFERROR(IF(AND($A610&lt;&gt;"",$E610&lt;&gt;"",$A610&gt;=PeriodStart,$A610&lt;=PeriodEnd),$E610+ROW()/1000000,0),0)</f>
        <v>0</v>
      </c>
    </row>
    <row r="611" customFormat="false" ht="15" hidden="false" customHeight="false" outlineLevel="0" collapsed="false">
      <c r="A611" s="75"/>
      <c r="B611" s="76"/>
      <c r="C611" s="77"/>
      <c r="D611" s="77"/>
      <c r="E611" s="78"/>
      <c r="F611" s="77"/>
      <c r="G611" s="77"/>
      <c r="H611" s="79" t="n">
        <f aca="false">N(H610)+IFERROR(IF(AND($A611&lt;&gt;"",$E611&lt;&gt;"",$A611&gt;=IF(Search!$E$4="",0,Search!$E$4),$A611&lt;=IF(Search!$E$5="",99999,Search!$E$5),OR(Search!$E$6="",ISNUMBER(SEARCH(Search!$E$6,$C611))),OR(Search!$E$7="All",Search!$E$7="",$D611=Search!$E$7),OR(Search!$E$8="",Search!$E$9="",AND($B611&lt;&gt;"",MOD($B611,1)&gt;=Search!$E$8,MOD($B611,1)&lt;=Search!$E$9))),1,0),0)</f>
        <v>0</v>
      </c>
      <c r="I611" s="79" t="n">
        <f aca="false">IF(H611&gt;N(H610),$E611,0)</f>
        <v>0</v>
      </c>
      <c r="J611" s="79" t="n">
        <f aca="false">IFERROR(IF(AND($A611&lt;&gt;"",$E611&lt;&gt;"",$A611&gt;=PeriodStart,$A611&lt;=PeriodEnd),$E611+ROW()/1000000,0),0)</f>
        <v>0</v>
      </c>
    </row>
    <row r="612" customFormat="false" ht="15" hidden="false" customHeight="false" outlineLevel="0" collapsed="false">
      <c r="A612" s="75"/>
      <c r="B612" s="76"/>
      <c r="C612" s="77"/>
      <c r="D612" s="77"/>
      <c r="E612" s="78"/>
      <c r="F612" s="77"/>
      <c r="G612" s="77"/>
      <c r="H612" s="79" t="n">
        <f aca="false">N(H611)+IFERROR(IF(AND($A612&lt;&gt;"",$E612&lt;&gt;"",$A612&gt;=IF(Search!$E$4="",0,Search!$E$4),$A612&lt;=IF(Search!$E$5="",99999,Search!$E$5),OR(Search!$E$6="",ISNUMBER(SEARCH(Search!$E$6,$C612))),OR(Search!$E$7="All",Search!$E$7="",$D612=Search!$E$7),OR(Search!$E$8="",Search!$E$9="",AND($B612&lt;&gt;"",MOD($B612,1)&gt;=Search!$E$8,MOD($B612,1)&lt;=Search!$E$9))),1,0),0)</f>
        <v>0</v>
      </c>
      <c r="I612" s="79" t="n">
        <f aca="false">IF(H612&gt;N(H611),$E612,0)</f>
        <v>0</v>
      </c>
      <c r="J612" s="79" t="n">
        <f aca="false">IFERROR(IF(AND($A612&lt;&gt;"",$E612&lt;&gt;"",$A612&gt;=PeriodStart,$A612&lt;=PeriodEnd),$E612+ROW()/1000000,0),0)</f>
        <v>0</v>
      </c>
    </row>
    <row r="613" customFormat="false" ht="15" hidden="false" customHeight="false" outlineLevel="0" collapsed="false">
      <c r="A613" s="75"/>
      <c r="B613" s="76"/>
      <c r="C613" s="77"/>
      <c r="D613" s="77"/>
      <c r="E613" s="78"/>
      <c r="F613" s="77"/>
      <c r="G613" s="77"/>
      <c r="H613" s="79" t="n">
        <f aca="false">N(H612)+IFERROR(IF(AND($A613&lt;&gt;"",$E613&lt;&gt;"",$A613&gt;=IF(Search!$E$4="",0,Search!$E$4),$A613&lt;=IF(Search!$E$5="",99999,Search!$E$5),OR(Search!$E$6="",ISNUMBER(SEARCH(Search!$E$6,$C613))),OR(Search!$E$7="All",Search!$E$7="",$D613=Search!$E$7),OR(Search!$E$8="",Search!$E$9="",AND($B613&lt;&gt;"",MOD($B613,1)&gt;=Search!$E$8,MOD($B613,1)&lt;=Search!$E$9))),1,0),0)</f>
        <v>0</v>
      </c>
      <c r="I613" s="79" t="n">
        <f aca="false">IF(H613&gt;N(H612),$E613,0)</f>
        <v>0</v>
      </c>
      <c r="J613" s="79" t="n">
        <f aca="false">IFERROR(IF(AND($A613&lt;&gt;"",$E613&lt;&gt;"",$A613&gt;=PeriodStart,$A613&lt;=PeriodEnd),$E613+ROW()/1000000,0),0)</f>
        <v>0</v>
      </c>
    </row>
    <row r="614" customFormat="false" ht="15" hidden="false" customHeight="false" outlineLevel="0" collapsed="false">
      <c r="A614" s="75"/>
      <c r="B614" s="76"/>
      <c r="C614" s="77"/>
      <c r="D614" s="77"/>
      <c r="E614" s="78"/>
      <c r="F614" s="77"/>
      <c r="G614" s="77"/>
      <c r="H614" s="79" t="n">
        <f aca="false">N(H613)+IFERROR(IF(AND($A614&lt;&gt;"",$E614&lt;&gt;"",$A614&gt;=IF(Search!$E$4="",0,Search!$E$4),$A614&lt;=IF(Search!$E$5="",99999,Search!$E$5),OR(Search!$E$6="",ISNUMBER(SEARCH(Search!$E$6,$C614))),OR(Search!$E$7="All",Search!$E$7="",$D614=Search!$E$7),OR(Search!$E$8="",Search!$E$9="",AND($B614&lt;&gt;"",MOD($B614,1)&gt;=Search!$E$8,MOD($B614,1)&lt;=Search!$E$9))),1,0),0)</f>
        <v>0</v>
      </c>
      <c r="I614" s="79" t="n">
        <f aca="false">IF(H614&gt;N(H613),$E614,0)</f>
        <v>0</v>
      </c>
      <c r="J614" s="79" t="n">
        <f aca="false">IFERROR(IF(AND($A614&lt;&gt;"",$E614&lt;&gt;"",$A614&gt;=PeriodStart,$A614&lt;=PeriodEnd),$E614+ROW()/1000000,0),0)</f>
        <v>0</v>
      </c>
    </row>
    <row r="615" customFormat="false" ht="15" hidden="false" customHeight="false" outlineLevel="0" collapsed="false">
      <c r="A615" s="75"/>
      <c r="B615" s="76"/>
      <c r="C615" s="77"/>
      <c r="D615" s="77"/>
      <c r="E615" s="78"/>
      <c r="F615" s="77"/>
      <c r="G615" s="77"/>
      <c r="H615" s="79" t="n">
        <f aca="false">N(H614)+IFERROR(IF(AND($A615&lt;&gt;"",$E615&lt;&gt;"",$A615&gt;=IF(Search!$E$4="",0,Search!$E$4),$A615&lt;=IF(Search!$E$5="",99999,Search!$E$5),OR(Search!$E$6="",ISNUMBER(SEARCH(Search!$E$6,$C615))),OR(Search!$E$7="All",Search!$E$7="",$D615=Search!$E$7),OR(Search!$E$8="",Search!$E$9="",AND($B615&lt;&gt;"",MOD($B615,1)&gt;=Search!$E$8,MOD($B615,1)&lt;=Search!$E$9))),1,0),0)</f>
        <v>0</v>
      </c>
      <c r="I615" s="79" t="n">
        <f aca="false">IF(H615&gt;N(H614),$E615,0)</f>
        <v>0</v>
      </c>
      <c r="J615" s="79" t="n">
        <f aca="false">IFERROR(IF(AND($A615&lt;&gt;"",$E615&lt;&gt;"",$A615&gt;=PeriodStart,$A615&lt;=PeriodEnd),$E615+ROW()/1000000,0),0)</f>
        <v>0</v>
      </c>
    </row>
    <row r="616" customFormat="false" ht="15" hidden="false" customHeight="false" outlineLevel="0" collapsed="false">
      <c r="A616" s="75"/>
      <c r="B616" s="76"/>
      <c r="C616" s="77"/>
      <c r="D616" s="77"/>
      <c r="E616" s="78"/>
      <c r="F616" s="77"/>
      <c r="G616" s="77"/>
      <c r="H616" s="79" t="n">
        <f aca="false">N(H615)+IFERROR(IF(AND($A616&lt;&gt;"",$E616&lt;&gt;"",$A616&gt;=IF(Search!$E$4="",0,Search!$E$4),$A616&lt;=IF(Search!$E$5="",99999,Search!$E$5),OR(Search!$E$6="",ISNUMBER(SEARCH(Search!$E$6,$C616))),OR(Search!$E$7="All",Search!$E$7="",$D616=Search!$E$7),OR(Search!$E$8="",Search!$E$9="",AND($B616&lt;&gt;"",MOD($B616,1)&gt;=Search!$E$8,MOD($B616,1)&lt;=Search!$E$9))),1,0),0)</f>
        <v>0</v>
      </c>
      <c r="I616" s="79" t="n">
        <f aca="false">IF(H616&gt;N(H615),$E616,0)</f>
        <v>0</v>
      </c>
      <c r="J616" s="79" t="n">
        <f aca="false">IFERROR(IF(AND($A616&lt;&gt;"",$E616&lt;&gt;"",$A616&gt;=PeriodStart,$A616&lt;=PeriodEnd),$E616+ROW()/1000000,0),0)</f>
        <v>0</v>
      </c>
    </row>
    <row r="617" customFormat="false" ht="15" hidden="false" customHeight="false" outlineLevel="0" collapsed="false">
      <c r="A617" s="75"/>
      <c r="B617" s="76"/>
      <c r="C617" s="77"/>
      <c r="D617" s="77"/>
      <c r="E617" s="78"/>
      <c r="F617" s="77"/>
      <c r="G617" s="77"/>
      <c r="H617" s="79" t="n">
        <f aca="false">N(H616)+IFERROR(IF(AND($A617&lt;&gt;"",$E617&lt;&gt;"",$A617&gt;=IF(Search!$E$4="",0,Search!$E$4),$A617&lt;=IF(Search!$E$5="",99999,Search!$E$5),OR(Search!$E$6="",ISNUMBER(SEARCH(Search!$E$6,$C617))),OR(Search!$E$7="All",Search!$E$7="",$D617=Search!$E$7),OR(Search!$E$8="",Search!$E$9="",AND($B617&lt;&gt;"",MOD($B617,1)&gt;=Search!$E$8,MOD($B617,1)&lt;=Search!$E$9))),1,0),0)</f>
        <v>0</v>
      </c>
      <c r="I617" s="79" t="n">
        <f aca="false">IF(H617&gt;N(H616),$E617,0)</f>
        <v>0</v>
      </c>
      <c r="J617" s="79" t="n">
        <f aca="false">IFERROR(IF(AND($A617&lt;&gt;"",$E617&lt;&gt;"",$A617&gt;=PeriodStart,$A617&lt;=PeriodEnd),$E617+ROW()/1000000,0),0)</f>
        <v>0</v>
      </c>
    </row>
    <row r="618" customFormat="false" ht="15" hidden="false" customHeight="false" outlineLevel="0" collapsed="false">
      <c r="A618" s="75"/>
      <c r="B618" s="76"/>
      <c r="C618" s="77"/>
      <c r="D618" s="77"/>
      <c r="E618" s="78"/>
      <c r="F618" s="77"/>
      <c r="G618" s="77"/>
      <c r="H618" s="79" t="n">
        <f aca="false">N(H617)+IFERROR(IF(AND($A618&lt;&gt;"",$E618&lt;&gt;"",$A618&gt;=IF(Search!$E$4="",0,Search!$E$4),$A618&lt;=IF(Search!$E$5="",99999,Search!$E$5),OR(Search!$E$6="",ISNUMBER(SEARCH(Search!$E$6,$C618))),OR(Search!$E$7="All",Search!$E$7="",$D618=Search!$E$7),OR(Search!$E$8="",Search!$E$9="",AND($B618&lt;&gt;"",MOD($B618,1)&gt;=Search!$E$8,MOD($B618,1)&lt;=Search!$E$9))),1,0),0)</f>
        <v>0</v>
      </c>
      <c r="I618" s="79" t="n">
        <f aca="false">IF(H618&gt;N(H617),$E618,0)</f>
        <v>0</v>
      </c>
      <c r="J618" s="79" t="n">
        <f aca="false">IFERROR(IF(AND($A618&lt;&gt;"",$E618&lt;&gt;"",$A618&gt;=PeriodStart,$A618&lt;=PeriodEnd),$E618+ROW()/1000000,0),0)</f>
        <v>0</v>
      </c>
    </row>
    <row r="619" customFormat="false" ht="15" hidden="false" customHeight="false" outlineLevel="0" collapsed="false">
      <c r="A619" s="75"/>
      <c r="B619" s="76"/>
      <c r="C619" s="77"/>
      <c r="D619" s="77"/>
      <c r="E619" s="78"/>
      <c r="F619" s="77"/>
      <c r="G619" s="77"/>
      <c r="H619" s="79" t="n">
        <f aca="false">N(H618)+IFERROR(IF(AND($A619&lt;&gt;"",$E619&lt;&gt;"",$A619&gt;=IF(Search!$E$4="",0,Search!$E$4),$A619&lt;=IF(Search!$E$5="",99999,Search!$E$5),OR(Search!$E$6="",ISNUMBER(SEARCH(Search!$E$6,$C619))),OR(Search!$E$7="All",Search!$E$7="",$D619=Search!$E$7),OR(Search!$E$8="",Search!$E$9="",AND($B619&lt;&gt;"",MOD($B619,1)&gt;=Search!$E$8,MOD($B619,1)&lt;=Search!$E$9))),1,0),0)</f>
        <v>0</v>
      </c>
      <c r="I619" s="79" t="n">
        <f aca="false">IF(H619&gt;N(H618),$E619,0)</f>
        <v>0</v>
      </c>
      <c r="J619" s="79" t="n">
        <f aca="false">IFERROR(IF(AND($A619&lt;&gt;"",$E619&lt;&gt;"",$A619&gt;=PeriodStart,$A619&lt;=PeriodEnd),$E619+ROW()/1000000,0),0)</f>
        <v>0</v>
      </c>
    </row>
    <row r="620" customFormat="false" ht="15" hidden="false" customHeight="false" outlineLevel="0" collapsed="false">
      <c r="A620" s="75"/>
      <c r="B620" s="76"/>
      <c r="C620" s="77"/>
      <c r="D620" s="77"/>
      <c r="E620" s="78"/>
      <c r="F620" s="77"/>
      <c r="G620" s="77"/>
      <c r="H620" s="79" t="n">
        <f aca="false">N(H619)+IFERROR(IF(AND($A620&lt;&gt;"",$E620&lt;&gt;"",$A620&gt;=IF(Search!$E$4="",0,Search!$E$4),$A620&lt;=IF(Search!$E$5="",99999,Search!$E$5),OR(Search!$E$6="",ISNUMBER(SEARCH(Search!$E$6,$C620))),OR(Search!$E$7="All",Search!$E$7="",$D620=Search!$E$7),OR(Search!$E$8="",Search!$E$9="",AND($B620&lt;&gt;"",MOD($B620,1)&gt;=Search!$E$8,MOD($B620,1)&lt;=Search!$E$9))),1,0),0)</f>
        <v>0</v>
      </c>
      <c r="I620" s="79" t="n">
        <f aca="false">IF(H620&gt;N(H619),$E620,0)</f>
        <v>0</v>
      </c>
      <c r="J620" s="79" t="n">
        <f aca="false">IFERROR(IF(AND($A620&lt;&gt;"",$E620&lt;&gt;"",$A620&gt;=PeriodStart,$A620&lt;=PeriodEnd),$E620+ROW()/1000000,0),0)</f>
        <v>0</v>
      </c>
    </row>
    <row r="621" customFormat="false" ht="15" hidden="false" customHeight="false" outlineLevel="0" collapsed="false">
      <c r="A621" s="75"/>
      <c r="B621" s="76"/>
      <c r="C621" s="77"/>
      <c r="D621" s="77"/>
      <c r="E621" s="78"/>
      <c r="F621" s="77"/>
      <c r="G621" s="77"/>
      <c r="H621" s="79" t="n">
        <f aca="false">N(H620)+IFERROR(IF(AND($A621&lt;&gt;"",$E621&lt;&gt;"",$A621&gt;=IF(Search!$E$4="",0,Search!$E$4),$A621&lt;=IF(Search!$E$5="",99999,Search!$E$5),OR(Search!$E$6="",ISNUMBER(SEARCH(Search!$E$6,$C621))),OR(Search!$E$7="All",Search!$E$7="",$D621=Search!$E$7),OR(Search!$E$8="",Search!$E$9="",AND($B621&lt;&gt;"",MOD($B621,1)&gt;=Search!$E$8,MOD($B621,1)&lt;=Search!$E$9))),1,0),0)</f>
        <v>0</v>
      </c>
      <c r="I621" s="79" t="n">
        <f aca="false">IF(H621&gt;N(H620),$E621,0)</f>
        <v>0</v>
      </c>
      <c r="J621" s="79" t="n">
        <f aca="false">IFERROR(IF(AND($A621&lt;&gt;"",$E621&lt;&gt;"",$A621&gt;=PeriodStart,$A621&lt;=PeriodEnd),$E621+ROW()/1000000,0),0)</f>
        <v>0</v>
      </c>
    </row>
    <row r="622" customFormat="false" ht="15" hidden="false" customHeight="false" outlineLevel="0" collapsed="false">
      <c r="A622" s="75"/>
      <c r="B622" s="76"/>
      <c r="C622" s="77"/>
      <c r="D622" s="77"/>
      <c r="E622" s="78"/>
      <c r="F622" s="77"/>
      <c r="G622" s="77"/>
      <c r="H622" s="79" t="n">
        <f aca="false">N(H621)+IFERROR(IF(AND($A622&lt;&gt;"",$E622&lt;&gt;"",$A622&gt;=IF(Search!$E$4="",0,Search!$E$4),$A622&lt;=IF(Search!$E$5="",99999,Search!$E$5),OR(Search!$E$6="",ISNUMBER(SEARCH(Search!$E$6,$C622))),OR(Search!$E$7="All",Search!$E$7="",$D622=Search!$E$7),OR(Search!$E$8="",Search!$E$9="",AND($B622&lt;&gt;"",MOD($B622,1)&gt;=Search!$E$8,MOD($B622,1)&lt;=Search!$E$9))),1,0),0)</f>
        <v>0</v>
      </c>
      <c r="I622" s="79" t="n">
        <f aca="false">IF(H622&gt;N(H621),$E622,0)</f>
        <v>0</v>
      </c>
      <c r="J622" s="79" t="n">
        <f aca="false">IFERROR(IF(AND($A622&lt;&gt;"",$E622&lt;&gt;"",$A622&gt;=PeriodStart,$A622&lt;=PeriodEnd),$E622+ROW()/1000000,0),0)</f>
        <v>0</v>
      </c>
    </row>
    <row r="623" customFormat="false" ht="15" hidden="false" customHeight="false" outlineLevel="0" collapsed="false">
      <c r="A623" s="75"/>
      <c r="B623" s="76"/>
      <c r="C623" s="77"/>
      <c r="D623" s="77"/>
      <c r="E623" s="78"/>
      <c r="F623" s="77"/>
      <c r="G623" s="77"/>
      <c r="H623" s="79" t="n">
        <f aca="false">N(H622)+IFERROR(IF(AND($A623&lt;&gt;"",$E623&lt;&gt;"",$A623&gt;=IF(Search!$E$4="",0,Search!$E$4),$A623&lt;=IF(Search!$E$5="",99999,Search!$E$5),OR(Search!$E$6="",ISNUMBER(SEARCH(Search!$E$6,$C623))),OR(Search!$E$7="All",Search!$E$7="",$D623=Search!$E$7),OR(Search!$E$8="",Search!$E$9="",AND($B623&lt;&gt;"",MOD($B623,1)&gt;=Search!$E$8,MOD($B623,1)&lt;=Search!$E$9))),1,0),0)</f>
        <v>0</v>
      </c>
      <c r="I623" s="79" t="n">
        <f aca="false">IF(H623&gt;N(H622),$E623,0)</f>
        <v>0</v>
      </c>
      <c r="J623" s="79" t="n">
        <f aca="false">IFERROR(IF(AND($A623&lt;&gt;"",$E623&lt;&gt;"",$A623&gt;=PeriodStart,$A623&lt;=PeriodEnd),$E623+ROW()/1000000,0),0)</f>
        <v>0</v>
      </c>
    </row>
    <row r="624" customFormat="false" ht="15" hidden="false" customHeight="false" outlineLevel="0" collapsed="false">
      <c r="A624" s="75"/>
      <c r="B624" s="76"/>
      <c r="C624" s="77"/>
      <c r="D624" s="77"/>
      <c r="E624" s="78"/>
      <c r="F624" s="77"/>
      <c r="G624" s="77"/>
      <c r="H624" s="79" t="n">
        <f aca="false">N(H623)+IFERROR(IF(AND($A624&lt;&gt;"",$E624&lt;&gt;"",$A624&gt;=IF(Search!$E$4="",0,Search!$E$4),$A624&lt;=IF(Search!$E$5="",99999,Search!$E$5),OR(Search!$E$6="",ISNUMBER(SEARCH(Search!$E$6,$C624))),OR(Search!$E$7="All",Search!$E$7="",$D624=Search!$E$7),OR(Search!$E$8="",Search!$E$9="",AND($B624&lt;&gt;"",MOD($B624,1)&gt;=Search!$E$8,MOD($B624,1)&lt;=Search!$E$9))),1,0),0)</f>
        <v>0</v>
      </c>
      <c r="I624" s="79" t="n">
        <f aca="false">IF(H624&gt;N(H623),$E624,0)</f>
        <v>0</v>
      </c>
      <c r="J624" s="79" t="n">
        <f aca="false">IFERROR(IF(AND($A624&lt;&gt;"",$E624&lt;&gt;"",$A624&gt;=PeriodStart,$A624&lt;=PeriodEnd),$E624+ROW()/1000000,0),0)</f>
        <v>0</v>
      </c>
    </row>
    <row r="625" customFormat="false" ht="15" hidden="false" customHeight="false" outlineLevel="0" collapsed="false">
      <c r="A625" s="75"/>
      <c r="B625" s="76"/>
      <c r="C625" s="77"/>
      <c r="D625" s="77"/>
      <c r="E625" s="78"/>
      <c r="F625" s="77"/>
      <c r="G625" s="77"/>
      <c r="H625" s="79" t="n">
        <f aca="false">N(H624)+IFERROR(IF(AND($A625&lt;&gt;"",$E625&lt;&gt;"",$A625&gt;=IF(Search!$E$4="",0,Search!$E$4),$A625&lt;=IF(Search!$E$5="",99999,Search!$E$5),OR(Search!$E$6="",ISNUMBER(SEARCH(Search!$E$6,$C625))),OR(Search!$E$7="All",Search!$E$7="",$D625=Search!$E$7),OR(Search!$E$8="",Search!$E$9="",AND($B625&lt;&gt;"",MOD($B625,1)&gt;=Search!$E$8,MOD($B625,1)&lt;=Search!$E$9))),1,0),0)</f>
        <v>0</v>
      </c>
      <c r="I625" s="79" t="n">
        <f aca="false">IF(H625&gt;N(H624),$E625,0)</f>
        <v>0</v>
      </c>
      <c r="J625" s="79" t="n">
        <f aca="false">IFERROR(IF(AND($A625&lt;&gt;"",$E625&lt;&gt;"",$A625&gt;=PeriodStart,$A625&lt;=PeriodEnd),$E625+ROW()/1000000,0),0)</f>
        <v>0</v>
      </c>
    </row>
    <row r="626" customFormat="false" ht="15" hidden="false" customHeight="false" outlineLevel="0" collapsed="false">
      <c r="A626" s="75"/>
      <c r="B626" s="76"/>
      <c r="C626" s="77"/>
      <c r="D626" s="77"/>
      <c r="E626" s="78"/>
      <c r="F626" s="77"/>
      <c r="G626" s="77"/>
      <c r="H626" s="79" t="n">
        <f aca="false">N(H625)+IFERROR(IF(AND($A626&lt;&gt;"",$E626&lt;&gt;"",$A626&gt;=IF(Search!$E$4="",0,Search!$E$4),$A626&lt;=IF(Search!$E$5="",99999,Search!$E$5),OR(Search!$E$6="",ISNUMBER(SEARCH(Search!$E$6,$C626))),OR(Search!$E$7="All",Search!$E$7="",$D626=Search!$E$7),OR(Search!$E$8="",Search!$E$9="",AND($B626&lt;&gt;"",MOD($B626,1)&gt;=Search!$E$8,MOD($B626,1)&lt;=Search!$E$9))),1,0),0)</f>
        <v>0</v>
      </c>
      <c r="I626" s="79" t="n">
        <f aca="false">IF(H626&gt;N(H625),$E626,0)</f>
        <v>0</v>
      </c>
      <c r="J626" s="79" t="n">
        <f aca="false">IFERROR(IF(AND($A626&lt;&gt;"",$E626&lt;&gt;"",$A626&gt;=PeriodStart,$A626&lt;=PeriodEnd),$E626+ROW()/1000000,0),0)</f>
        <v>0</v>
      </c>
    </row>
    <row r="627" customFormat="false" ht="15" hidden="false" customHeight="false" outlineLevel="0" collapsed="false">
      <c r="A627" s="75"/>
      <c r="B627" s="76"/>
      <c r="C627" s="77"/>
      <c r="D627" s="77"/>
      <c r="E627" s="78"/>
      <c r="F627" s="77"/>
      <c r="G627" s="77"/>
      <c r="H627" s="79" t="n">
        <f aca="false">N(H626)+IFERROR(IF(AND($A627&lt;&gt;"",$E627&lt;&gt;"",$A627&gt;=IF(Search!$E$4="",0,Search!$E$4),$A627&lt;=IF(Search!$E$5="",99999,Search!$E$5),OR(Search!$E$6="",ISNUMBER(SEARCH(Search!$E$6,$C627))),OR(Search!$E$7="All",Search!$E$7="",$D627=Search!$E$7),OR(Search!$E$8="",Search!$E$9="",AND($B627&lt;&gt;"",MOD($B627,1)&gt;=Search!$E$8,MOD($B627,1)&lt;=Search!$E$9))),1,0),0)</f>
        <v>0</v>
      </c>
      <c r="I627" s="79" t="n">
        <f aca="false">IF(H627&gt;N(H626),$E627,0)</f>
        <v>0</v>
      </c>
      <c r="J627" s="79" t="n">
        <f aca="false">IFERROR(IF(AND($A627&lt;&gt;"",$E627&lt;&gt;"",$A627&gt;=PeriodStart,$A627&lt;=PeriodEnd),$E627+ROW()/1000000,0),0)</f>
        <v>0</v>
      </c>
    </row>
    <row r="628" customFormat="false" ht="15" hidden="false" customHeight="false" outlineLevel="0" collapsed="false">
      <c r="A628" s="75"/>
      <c r="B628" s="76"/>
      <c r="C628" s="77"/>
      <c r="D628" s="77"/>
      <c r="E628" s="78"/>
      <c r="F628" s="77"/>
      <c r="G628" s="77"/>
      <c r="H628" s="79" t="n">
        <f aca="false">N(H627)+IFERROR(IF(AND($A628&lt;&gt;"",$E628&lt;&gt;"",$A628&gt;=IF(Search!$E$4="",0,Search!$E$4),$A628&lt;=IF(Search!$E$5="",99999,Search!$E$5),OR(Search!$E$6="",ISNUMBER(SEARCH(Search!$E$6,$C628))),OR(Search!$E$7="All",Search!$E$7="",$D628=Search!$E$7),OR(Search!$E$8="",Search!$E$9="",AND($B628&lt;&gt;"",MOD($B628,1)&gt;=Search!$E$8,MOD($B628,1)&lt;=Search!$E$9))),1,0),0)</f>
        <v>0</v>
      </c>
      <c r="I628" s="79" t="n">
        <f aca="false">IF(H628&gt;N(H627),$E628,0)</f>
        <v>0</v>
      </c>
      <c r="J628" s="79" t="n">
        <f aca="false">IFERROR(IF(AND($A628&lt;&gt;"",$E628&lt;&gt;"",$A628&gt;=PeriodStart,$A628&lt;=PeriodEnd),$E628+ROW()/1000000,0),0)</f>
        <v>0</v>
      </c>
    </row>
    <row r="629" customFormat="false" ht="15" hidden="false" customHeight="false" outlineLevel="0" collapsed="false">
      <c r="A629" s="75"/>
      <c r="B629" s="76"/>
      <c r="C629" s="77"/>
      <c r="D629" s="77"/>
      <c r="E629" s="78"/>
      <c r="F629" s="77"/>
      <c r="G629" s="77"/>
      <c r="H629" s="79" t="n">
        <f aca="false">N(H628)+IFERROR(IF(AND($A629&lt;&gt;"",$E629&lt;&gt;"",$A629&gt;=IF(Search!$E$4="",0,Search!$E$4),$A629&lt;=IF(Search!$E$5="",99999,Search!$E$5),OR(Search!$E$6="",ISNUMBER(SEARCH(Search!$E$6,$C629))),OR(Search!$E$7="All",Search!$E$7="",$D629=Search!$E$7),OR(Search!$E$8="",Search!$E$9="",AND($B629&lt;&gt;"",MOD($B629,1)&gt;=Search!$E$8,MOD($B629,1)&lt;=Search!$E$9))),1,0),0)</f>
        <v>0</v>
      </c>
      <c r="I629" s="79" t="n">
        <f aca="false">IF(H629&gt;N(H628),$E629,0)</f>
        <v>0</v>
      </c>
      <c r="J629" s="79" t="n">
        <f aca="false">IFERROR(IF(AND($A629&lt;&gt;"",$E629&lt;&gt;"",$A629&gt;=PeriodStart,$A629&lt;=PeriodEnd),$E629+ROW()/1000000,0),0)</f>
        <v>0</v>
      </c>
    </row>
    <row r="630" customFormat="false" ht="15" hidden="false" customHeight="false" outlineLevel="0" collapsed="false">
      <c r="A630" s="75"/>
      <c r="B630" s="76"/>
      <c r="C630" s="77"/>
      <c r="D630" s="77"/>
      <c r="E630" s="78"/>
      <c r="F630" s="77"/>
      <c r="G630" s="77"/>
      <c r="H630" s="79" t="n">
        <f aca="false">N(H629)+IFERROR(IF(AND($A630&lt;&gt;"",$E630&lt;&gt;"",$A630&gt;=IF(Search!$E$4="",0,Search!$E$4),$A630&lt;=IF(Search!$E$5="",99999,Search!$E$5),OR(Search!$E$6="",ISNUMBER(SEARCH(Search!$E$6,$C630))),OR(Search!$E$7="All",Search!$E$7="",$D630=Search!$E$7),OR(Search!$E$8="",Search!$E$9="",AND($B630&lt;&gt;"",MOD($B630,1)&gt;=Search!$E$8,MOD($B630,1)&lt;=Search!$E$9))),1,0),0)</f>
        <v>0</v>
      </c>
      <c r="I630" s="79" t="n">
        <f aca="false">IF(H630&gt;N(H629),$E630,0)</f>
        <v>0</v>
      </c>
      <c r="J630" s="79" t="n">
        <f aca="false">IFERROR(IF(AND($A630&lt;&gt;"",$E630&lt;&gt;"",$A630&gt;=PeriodStart,$A630&lt;=PeriodEnd),$E630+ROW()/1000000,0),0)</f>
        <v>0</v>
      </c>
    </row>
    <row r="631" customFormat="false" ht="15" hidden="false" customHeight="false" outlineLevel="0" collapsed="false">
      <c r="A631" s="75"/>
      <c r="B631" s="76"/>
      <c r="C631" s="77"/>
      <c r="D631" s="77"/>
      <c r="E631" s="78"/>
      <c r="F631" s="77"/>
      <c r="G631" s="77"/>
      <c r="H631" s="79" t="n">
        <f aca="false">N(H630)+IFERROR(IF(AND($A631&lt;&gt;"",$E631&lt;&gt;"",$A631&gt;=IF(Search!$E$4="",0,Search!$E$4),$A631&lt;=IF(Search!$E$5="",99999,Search!$E$5),OR(Search!$E$6="",ISNUMBER(SEARCH(Search!$E$6,$C631))),OR(Search!$E$7="All",Search!$E$7="",$D631=Search!$E$7),OR(Search!$E$8="",Search!$E$9="",AND($B631&lt;&gt;"",MOD($B631,1)&gt;=Search!$E$8,MOD($B631,1)&lt;=Search!$E$9))),1,0),0)</f>
        <v>0</v>
      </c>
      <c r="I631" s="79" t="n">
        <f aca="false">IF(H631&gt;N(H630),$E631,0)</f>
        <v>0</v>
      </c>
      <c r="J631" s="79" t="n">
        <f aca="false">IFERROR(IF(AND($A631&lt;&gt;"",$E631&lt;&gt;"",$A631&gt;=PeriodStart,$A631&lt;=PeriodEnd),$E631+ROW()/1000000,0),0)</f>
        <v>0</v>
      </c>
    </row>
    <row r="632" customFormat="false" ht="15" hidden="false" customHeight="false" outlineLevel="0" collapsed="false">
      <c r="A632" s="75"/>
      <c r="B632" s="76"/>
      <c r="C632" s="77"/>
      <c r="D632" s="77"/>
      <c r="E632" s="78"/>
      <c r="F632" s="77"/>
      <c r="G632" s="77"/>
      <c r="H632" s="79" t="n">
        <f aca="false">N(H631)+IFERROR(IF(AND($A632&lt;&gt;"",$E632&lt;&gt;"",$A632&gt;=IF(Search!$E$4="",0,Search!$E$4),$A632&lt;=IF(Search!$E$5="",99999,Search!$E$5),OR(Search!$E$6="",ISNUMBER(SEARCH(Search!$E$6,$C632))),OR(Search!$E$7="All",Search!$E$7="",$D632=Search!$E$7),OR(Search!$E$8="",Search!$E$9="",AND($B632&lt;&gt;"",MOD($B632,1)&gt;=Search!$E$8,MOD($B632,1)&lt;=Search!$E$9))),1,0),0)</f>
        <v>0</v>
      </c>
      <c r="I632" s="79" t="n">
        <f aca="false">IF(H632&gt;N(H631),$E632,0)</f>
        <v>0</v>
      </c>
      <c r="J632" s="79" t="n">
        <f aca="false">IFERROR(IF(AND($A632&lt;&gt;"",$E632&lt;&gt;"",$A632&gt;=PeriodStart,$A632&lt;=PeriodEnd),$E632+ROW()/1000000,0),0)</f>
        <v>0</v>
      </c>
    </row>
    <row r="633" customFormat="false" ht="15" hidden="false" customHeight="false" outlineLevel="0" collapsed="false">
      <c r="A633" s="75"/>
      <c r="B633" s="76"/>
      <c r="C633" s="77"/>
      <c r="D633" s="77"/>
      <c r="E633" s="78"/>
      <c r="F633" s="77"/>
      <c r="G633" s="77"/>
      <c r="H633" s="79" t="n">
        <f aca="false">N(H632)+IFERROR(IF(AND($A633&lt;&gt;"",$E633&lt;&gt;"",$A633&gt;=IF(Search!$E$4="",0,Search!$E$4),$A633&lt;=IF(Search!$E$5="",99999,Search!$E$5),OR(Search!$E$6="",ISNUMBER(SEARCH(Search!$E$6,$C633))),OR(Search!$E$7="All",Search!$E$7="",$D633=Search!$E$7),OR(Search!$E$8="",Search!$E$9="",AND($B633&lt;&gt;"",MOD($B633,1)&gt;=Search!$E$8,MOD($B633,1)&lt;=Search!$E$9))),1,0),0)</f>
        <v>0</v>
      </c>
      <c r="I633" s="79" t="n">
        <f aca="false">IF(H633&gt;N(H632),$E633,0)</f>
        <v>0</v>
      </c>
      <c r="J633" s="79" t="n">
        <f aca="false">IFERROR(IF(AND($A633&lt;&gt;"",$E633&lt;&gt;"",$A633&gt;=PeriodStart,$A633&lt;=PeriodEnd),$E633+ROW()/1000000,0),0)</f>
        <v>0</v>
      </c>
    </row>
    <row r="634" customFormat="false" ht="15" hidden="false" customHeight="false" outlineLevel="0" collapsed="false">
      <c r="A634" s="75"/>
      <c r="B634" s="76"/>
      <c r="C634" s="77"/>
      <c r="D634" s="77"/>
      <c r="E634" s="78"/>
      <c r="F634" s="77"/>
      <c r="G634" s="77"/>
      <c r="H634" s="79" t="n">
        <f aca="false">N(H633)+IFERROR(IF(AND($A634&lt;&gt;"",$E634&lt;&gt;"",$A634&gt;=IF(Search!$E$4="",0,Search!$E$4),$A634&lt;=IF(Search!$E$5="",99999,Search!$E$5),OR(Search!$E$6="",ISNUMBER(SEARCH(Search!$E$6,$C634))),OR(Search!$E$7="All",Search!$E$7="",$D634=Search!$E$7),OR(Search!$E$8="",Search!$E$9="",AND($B634&lt;&gt;"",MOD($B634,1)&gt;=Search!$E$8,MOD($B634,1)&lt;=Search!$E$9))),1,0),0)</f>
        <v>0</v>
      </c>
      <c r="I634" s="79" t="n">
        <f aca="false">IF(H634&gt;N(H633),$E634,0)</f>
        <v>0</v>
      </c>
      <c r="J634" s="79" t="n">
        <f aca="false">IFERROR(IF(AND($A634&lt;&gt;"",$E634&lt;&gt;"",$A634&gt;=PeriodStart,$A634&lt;=PeriodEnd),$E634+ROW()/1000000,0),0)</f>
        <v>0</v>
      </c>
    </row>
    <row r="635" customFormat="false" ht="15" hidden="false" customHeight="false" outlineLevel="0" collapsed="false">
      <c r="A635" s="75"/>
      <c r="B635" s="76"/>
      <c r="C635" s="77"/>
      <c r="D635" s="77"/>
      <c r="E635" s="78"/>
      <c r="F635" s="77"/>
      <c r="G635" s="77"/>
      <c r="H635" s="79" t="n">
        <f aca="false">N(H634)+IFERROR(IF(AND($A635&lt;&gt;"",$E635&lt;&gt;"",$A635&gt;=IF(Search!$E$4="",0,Search!$E$4),$A635&lt;=IF(Search!$E$5="",99999,Search!$E$5),OR(Search!$E$6="",ISNUMBER(SEARCH(Search!$E$6,$C635))),OR(Search!$E$7="All",Search!$E$7="",$D635=Search!$E$7),OR(Search!$E$8="",Search!$E$9="",AND($B635&lt;&gt;"",MOD($B635,1)&gt;=Search!$E$8,MOD($B635,1)&lt;=Search!$E$9))),1,0),0)</f>
        <v>0</v>
      </c>
      <c r="I635" s="79" t="n">
        <f aca="false">IF(H635&gt;N(H634),$E635,0)</f>
        <v>0</v>
      </c>
      <c r="J635" s="79" t="n">
        <f aca="false">IFERROR(IF(AND($A635&lt;&gt;"",$E635&lt;&gt;"",$A635&gt;=PeriodStart,$A635&lt;=PeriodEnd),$E635+ROW()/1000000,0),0)</f>
        <v>0</v>
      </c>
    </row>
    <row r="636" customFormat="false" ht="15" hidden="false" customHeight="false" outlineLevel="0" collapsed="false">
      <c r="A636" s="75"/>
      <c r="B636" s="76"/>
      <c r="C636" s="77"/>
      <c r="D636" s="77"/>
      <c r="E636" s="78"/>
      <c r="F636" s="77"/>
      <c r="G636" s="77"/>
      <c r="H636" s="79" t="n">
        <f aca="false">N(H635)+IFERROR(IF(AND($A636&lt;&gt;"",$E636&lt;&gt;"",$A636&gt;=IF(Search!$E$4="",0,Search!$E$4),$A636&lt;=IF(Search!$E$5="",99999,Search!$E$5),OR(Search!$E$6="",ISNUMBER(SEARCH(Search!$E$6,$C636))),OR(Search!$E$7="All",Search!$E$7="",$D636=Search!$E$7),OR(Search!$E$8="",Search!$E$9="",AND($B636&lt;&gt;"",MOD($B636,1)&gt;=Search!$E$8,MOD($B636,1)&lt;=Search!$E$9))),1,0),0)</f>
        <v>0</v>
      </c>
      <c r="I636" s="79" t="n">
        <f aca="false">IF(H636&gt;N(H635),$E636,0)</f>
        <v>0</v>
      </c>
      <c r="J636" s="79" t="n">
        <f aca="false">IFERROR(IF(AND($A636&lt;&gt;"",$E636&lt;&gt;"",$A636&gt;=PeriodStart,$A636&lt;=PeriodEnd),$E636+ROW()/1000000,0),0)</f>
        <v>0</v>
      </c>
    </row>
    <row r="637" customFormat="false" ht="15" hidden="false" customHeight="false" outlineLevel="0" collapsed="false">
      <c r="A637" s="75"/>
      <c r="B637" s="76"/>
      <c r="C637" s="77"/>
      <c r="D637" s="77"/>
      <c r="E637" s="78"/>
      <c r="F637" s="77"/>
      <c r="G637" s="77"/>
      <c r="H637" s="79" t="n">
        <f aca="false">N(H636)+IFERROR(IF(AND($A637&lt;&gt;"",$E637&lt;&gt;"",$A637&gt;=IF(Search!$E$4="",0,Search!$E$4),$A637&lt;=IF(Search!$E$5="",99999,Search!$E$5),OR(Search!$E$6="",ISNUMBER(SEARCH(Search!$E$6,$C637))),OR(Search!$E$7="All",Search!$E$7="",$D637=Search!$E$7),OR(Search!$E$8="",Search!$E$9="",AND($B637&lt;&gt;"",MOD($B637,1)&gt;=Search!$E$8,MOD($B637,1)&lt;=Search!$E$9))),1,0),0)</f>
        <v>0</v>
      </c>
      <c r="I637" s="79" t="n">
        <f aca="false">IF(H637&gt;N(H636),$E637,0)</f>
        <v>0</v>
      </c>
      <c r="J637" s="79" t="n">
        <f aca="false">IFERROR(IF(AND($A637&lt;&gt;"",$E637&lt;&gt;"",$A637&gt;=PeriodStart,$A637&lt;=PeriodEnd),$E637+ROW()/1000000,0),0)</f>
        <v>0</v>
      </c>
    </row>
    <row r="638" customFormat="false" ht="15" hidden="false" customHeight="false" outlineLevel="0" collapsed="false">
      <c r="A638" s="75"/>
      <c r="B638" s="76"/>
      <c r="C638" s="77"/>
      <c r="D638" s="77"/>
      <c r="E638" s="78"/>
      <c r="F638" s="77"/>
      <c r="G638" s="77"/>
      <c r="H638" s="79" t="n">
        <f aca="false">N(H637)+IFERROR(IF(AND($A638&lt;&gt;"",$E638&lt;&gt;"",$A638&gt;=IF(Search!$E$4="",0,Search!$E$4),$A638&lt;=IF(Search!$E$5="",99999,Search!$E$5),OR(Search!$E$6="",ISNUMBER(SEARCH(Search!$E$6,$C638))),OR(Search!$E$7="All",Search!$E$7="",$D638=Search!$E$7),OR(Search!$E$8="",Search!$E$9="",AND($B638&lt;&gt;"",MOD($B638,1)&gt;=Search!$E$8,MOD($B638,1)&lt;=Search!$E$9))),1,0),0)</f>
        <v>0</v>
      </c>
      <c r="I638" s="79" t="n">
        <f aca="false">IF(H638&gt;N(H637),$E638,0)</f>
        <v>0</v>
      </c>
      <c r="J638" s="79" t="n">
        <f aca="false">IFERROR(IF(AND($A638&lt;&gt;"",$E638&lt;&gt;"",$A638&gt;=PeriodStart,$A638&lt;=PeriodEnd),$E638+ROW()/1000000,0),0)</f>
        <v>0</v>
      </c>
    </row>
    <row r="639" customFormat="false" ht="15" hidden="false" customHeight="false" outlineLevel="0" collapsed="false">
      <c r="A639" s="75"/>
      <c r="B639" s="76"/>
      <c r="C639" s="77"/>
      <c r="D639" s="77"/>
      <c r="E639" s="78"/>
      <c r="F639" s="77"/>
      <c r="G639" s="77"/>
      <c r="H639" s="79" t="n">
        <f aca="false">N(H638)+IFERROR(IF(AND($A639&lt;&gt;"",$E639&lt;&gt;"",$A639&gt;=IF(Search!$E$4="",0,Search!$E$4),$A639&lt;=IF(Search!$E$5="",99999,Search!$E$5),OR(Search!$E$6="",ISNUMBER(SEARCH(Search!$E$6,$C639))),OR(Search!$E$7="All",Search!$E$7="",$D639=Search!$E$7),OR(Search!$E$8="",Search!$E$9="",AND($B639&lt;&gt;"",MOD($B639,1)&gt;=Search!$E$8,MOD($B639,1)&lt;=Search!$E$9))),1,0),0)</f>
        <v>0</v>
      </c>
      <c r="I639" s="79" t="n">
        <f aca="false">IF(H639&gt;N(H638),$E639,0)</f>
        <v>0</v>
      </c>
      <c r="J639" s="79" t="n">
        <f aca="false">IFERROR(IF(AND($A639&lt;&gt;"",$E639&lt;&gt;"",$A639&gt;=PeriodStart,$A639&lt;=PeriodEnd),$E639+ROW()/1000000,0),0)</f>
        <v>0</v>
      </c>
    </row>
    <row r="640" customFormat="false" ht="15" hidden="false" customHeight="false" outlineLevel="0" collapsed="false">
      <c r="A640" s="75"/>
      <c r="B640" s="76"/>
      <c r="C640" s="77"/>
      <c r="D640" s="77"/>
      <c r="E640" s="78"/>
      <c r="F640" s="77"/>
      <c r="G640" s="77"/>
      <c r="H640" s="79" t="n">
        <f aca="false">N(H639)+IFERROR(IF(AND($A640&lt;&gt;"",$E640&lt;&gt;"",$A640&gt;=IF(Search!$E$4="",0,Search!$E$4),$A640&lt;=IF(Search!$E$5="",99999,Search!$E$5),OR(Search!$E$6="",ISNUMBER(SEARCH(Search!$E$6,$C640))),OR(Search!$E$7="All",Search!$E$7="",$D640=Search!$E$7),OR(Search!$E$8="",Search!$E$9="",AND($B640&lt;&gt;"",MOD($B640,1)&gt;=Search!$E$8,MOD($B640,1)&lt;=Search!$E$9))),1,0),0)</f>
        <v>0</v>
      </c>
      <c r="I640" s="79" t="n">
        <f aca="false">IF(H640&gt;N(H639),$E640,0)</f>
        <v>0</v>
      </c>
      <c r="J640" s="79" t="n">
        <f aca="false">IFERROR(IF(AND($A640&lt;&gt;"",$E640&lt;&gt;"",$A640&gt;=PeriodStart,$A640&lt;=PeriodEnd),$E640+ROW()/1000000,0),0)</f>
        <v>0</v>
      </c>
    </row>
    <row r="641" customFormat="false" ht="15" hidden="false" customHeight="false" outlineLevel="0" collapsed="false">
      <c r="A641" s="75"/>
      <c r="B641" s="76"/>
      <c r="C641" s="77"/>
      <c r="D641" s="77"/>
      <c r="E641" s="78"/>
      <c r="F641" s="77"/>
      <c r="G641" s="77"/>
      <c r="H641" s="79" t="n">
        <f aca="false">N(H640)+IFERROR(IF(AND($A641&lt;&gt;"",$E641&lt;&gt;"",$A641&gt;=IF(Search!$E$4="",0,Search!$E$4),$A641&lt;=IF(Search!$E$5="",99999,Search!$E$5),OR(Search!$E$6="",ISNUMBER(SEARCH(Search!$E$6,$C641))),OR(Search!$E$7="All",Search!$E$7="",$D641=Search!$E$7),OR(Search!$E$8="",Search!$E$9="",AND($B641&lt;&gt;"",MOD($B641,1)&gt;=Search!$E$8,MOD($B641,1)&lt;=Search!$E$9))),1,0),0)</f>
        <v>0</v>
      </c>
      <c r="I641" s="79" t="n">
        <f aca="false">IF(H641&gt;N(H640),$E641,0)</f>
        <v>0</v>
      </c>
      <c r="J641" s="79" t="n">
        <f aca="false">IFERROR(IF(AND($A641&lt;&gt;"",$E641&lt;&gt;"",$A641&gt;=PeriodStart,$A641&lt;=PeriodEnd),$E641+ROW()/1000000,0),0)</f>
        <v>0</v>
      </c>
    </row>
    <row r="642" customFormat="false" ht="15" hidden="false" customHeight="false" outlineLevel="0" collapsed="false">
      <c r="A642" s="75"/>
      <c r="B642" s="76"/>
      <c r="C642" s="77"/>
      <c r="D642" s="77"/>
      <c r="E642" s="78"/>
      <c r="F642" s="77"/>
      <c r="G642" s="77"/>
      <c r="H642" s="79" t="n">
        <f aca="false">N(H641)+IFERROR(IF(AND($A642&lt;&gt;"",$E642&lt;&gt;"",$A642&gt;=IF(Search!$E$4="",0,Search!$E$4),$A642&lt;=IF(Search!$E$5="",99999,Search!$E$5),OR(Search!$E$6="",ISNUMBER(SEARCH(Search!$E$6,$C642))),OR(Search!$E$7="All",Search!$E$7="",$D642=Search!$E$7),OR(Search!$E$8="",Search!$E$9="",AND($B642&lt;&gt;"",MOD($B642,1)&gt;=Search!$E$8,MOD($B642,1)&lt;=Search!$E$9))),1,0),0)</f>
        <v>0</v>
      </c>
      <c r="I642" s="79" t="n">
        <f aca="false">IF(H642&gt;N(H641),$E642,0)</f>
        <v>0</v>
      </c>
      <c r="J642" s="79" t="n">
        <f aca="false">IFERROR(IF(AND($A642&lt;&gt;"",$E642&lt;&gt;"",$A642&gt;=PeriodStart,$A642&lt;=PeriodEnd),$E642+ROW()/1000000,0),0)</f>
        <v>0</v>
      </c>
    </row>
    <row r="643" customFormat="false" ht="15" hidden="false" customHeight="false" outlineLevel="0" collapsed="false">
      <c r="A643" s="75"/>
      <c r="B643" s="76"/>
      <c r="C643" s="77"/>
      <c r="D643" s="77"/>
      <c r="E643" s="78"/>
      <c r="F643" s="77"/>
      <c r="G643" s="77"/>
      <c r="H643" s="79" t="n">
        <f aca="false">N(H642)+IFERROR(IF(AND($A643&lt;&gt;"",$E643&lt;&gt;"",$A643&gt;=IF(Search!$E$4="",0,Search!$E$4),$A643&lt;=IF(Search!$E$5="",99999,Search!$E$5),OR(Search!$E$6="",ISNUMBER(SEARCH(Search!$E$6,$C643))),OR(Search!$E$7="All",Search!$E$7="",$D643=Search!$E$7),OR(Search!$E$8="",Search!$E$9="",AND($B643&lt;&gt;"",MOD($B643,1)&gt;=Search!$E$8,MOD($B643,1)&lt;=Search!$E$9))),1,0),0)</f>
        <v>0</v>
      </c>
      <c r="I643" s="79" t="n">
        <f aca="false">IF(H643&gt;N(H642),$E643,0)</f>
        <v>0</v>
      </c>
      <c r="J643" s="79" t="n">
        <f aca="false">IFERROR(IF(AND($A643&lt;&gt;"",$E643&lt;&gt;"",$A643&gt;=PeriodStart,$A643&lt;=PeriodEnd),$E643+ROW()/1000000,0),0)</f>
        <v>0</v>
      </c>
    </row>
    <row r="644" customFormat="false" ht="15" hidden="false" customHeight="false" outlineLevel="0" collapsed="false">
      <c r="A644" s="75"/>
      <c r="B644" s="76"/>
      <c r="C644" s="77"/>
      <c r="D644" s="77"/>
      <c r="E644" s="78"/>
      <c r="F644" s="77"/>
      <c r="G644" s="77"/>
      <c r="H644" s="79" t="n">
        <f aca="false">N(H643)+IFERROR(IF(AND($A644&lt;&gt;"",$E644&lt;&gt;"",$A644&gt;=IF(Search!$E$4="",0,Search!$E$4),$A644&lt;=IF(Search!$E$5="",99999,Search!$E$5),OR(Search!$E$6="",ISNUMBER(SEARCH(Search!$E$6,$C644))),OR(Search!$E$7="All",Search!$E$7="",$D644=Search!$E$7),OR(Search!$E$8="",Search!$E$9="",AND($B644&lt;&gt;"",MOD($B644,1)&gt;=Search!$E$8,MOD($B644,1)&lt;=Search!$E$9))),1,0),0)</f>
        <v>0</v>
      </c>
      <c r="I644" s="79" t="n">
        <f aca="false">IF(H644&gt;N(H643),$E644,0)</f>
        <v>0</v>
      </c>
      <c r="J644" s="79" t="n">
        <f aca="false">IFERROR(IF(AND($A644&lt;&gt;"",$E644&lt;&gt;"",$A644&gt;=PeriodStart,$A644&lt;=PeriodEnd),$E644+ROW()/1000000,0),0)</f>
        <v>0</v>
      </c>
    </row>
    <row r="645" customFormat="false" ht="15" hidden="false" customHeight="false" outlineLevel="0" collapsed="false">
      <c r="A645" s="75"/>
      <c r="B645" s="76"/>
      <c r="C645" s="77"/>
      <c r="D645" s="77"/>
      <c r="E645" s="78"/>
      <c r="F645" s="77"/>
      <c r="G645" s="77"/>
      <c r="H645" s="79" t="n">
        <f aca="false">N(H644)+IFERROR(IF(AND($A645&lt;&gt;"",$E645&lt;&gt;"",$A645&gt;=IF(Search!$E$4="",0,Search!$E$4),$A645&lt;=IF(Search!$E$5="",99999,Search!$E$5),OR(Search!$E$6="",ISNUMBER(SEARCH(Search!$E$6,$C645))),OR(Search!$E$7="All",Search!$E$7="",$D645=Search!$E$7),OR(Search!$E$8="",Search!$E$9="",AND($B645&lt;&gt;"",MOD($B645,1)&gt;=Search!$E$8,MOD($B645,1)&lt;=Search!$E$9))),1,0),0)</f>
        <v>0</v>
      </c>
      <c r="I645" s="79" t="n">
        <f aca="false">IF(H645&gt;N(H644),$E645,0)</f>
        <v>0</v>
      </c>
      <c r="J645" s="79" t="n">
        <f aca="false">IFERROR(IF(AND($A645&lt;&gt;"",$E645&lt;&gt;"",$A645&gt;=PeriodStart,$A645&lt;=PeriodEnd),$E645+ROW()/1000000,0),0)</f>
        <v>0</v>
      </c>
    </row>
    <row r="646" customFormat="false" ht="15" hidden="false" customHeight="false" outlineLevel="0" collapsed="false">
      <c r="A646" s="75"/>
      <c r="B646" s="76"/>
      <c r="C646" s="77"/>
      <c r="D646" s="77"/>
      <c r="E646" s="78"/>
      <c r="F646" s="77"/>
      <c r="G646" s="77"/>
      <c r="H646" s="79" t="n">
        <f aca="false">N(H645)+IFERROR(IF(AND($A646&lt;&gt;"",$E646&lt;&gt;"",$A646&gt;=IF(Search!$E$4="",0,Search!$E$4),$A646&lt;=IF(Search!$E$5="",99999,Search!$E$5),OR(Search!$E$6="",ISNUMBER(SEARCH(Search!$E$6,$C646))),OR(Search!$E$7="All",Search!$E$7="",$D646=Search!$E$7),OR(Search!$E$8="",Search!$E$9="",AND($B646&lt;&gt;"",MOD($B646,1)&gt;=Search!$E$8,MOD($B646,1)&lt;=Search!$E$9))),1,0),0)</f>
        <v>0</v>
      </c>
      <c r="I646" s="79" t="n">
        <f aca="false">IF(H646&gt;N(H645),$E646,0)</f>
        <v>0</v>
      </c>
      <c r="J646" s="79" t="n">
        <f aca="false">IFERROR(IF(AND($A646&lt;&gt;"",$E646&lt;&gt;"",$A646&gt;=PeriodStart,$A646&lt;=PeriodEnd),$E646+ROW()/1000000,0),0)</f>
        <v>0</v>
      </c>
    </row>
    <row r="647" customFormat="false" ht="15" hidden="false" customHeight="false" outlineLevel="0" collapsed="false">
      <c r="A647" s="75"/>
      <c r="B647" s="76"/>
      <c r="C647" s="77"/>
      <c r="D647" s="77"/>
      <c r="E647" s="78"/>
      <c r="F647" s="77"/>
      <c r="G647" s="77"/>
      <c r="H647" s="79" t="n">
        <f aca="false">N(H646)+IFERROR(IF(AND($A647&lt;&gt;"",$E647&lt;&gt;"",$A647&gt;=IF(Search!$E$4="",0,Search!$E$4),$A647&lt;=IF(Search!$E$5="",99999,Search!$E$5),OR(Search!$E$6="",ISNUMBER(SEARCH(Search!$E$6,$C647))),OR(Search!$E$7="All",Search!$E$7="",$D647=Search!$E$7),OR(Search!$E$8="",Search!$E$9="",AND($B647&lt;&gt;"",MOD($B647,1)&gt;=Search!$E$8,MOD($B647,1)&lt;=Search!$E$9))),1,0),0)</f>
        <v>0</v>
      </c>
      <c r="I647" s="79" t="n">
        <f aca="false">IF(H647&gt;N(H646),$E647,0)</f>
        <v>0</v>
      </c>
      <c r="J647" s="79" t="n">
        <f aca="false">IFERROR(IF(AND($A647&lt;&gt;"",$E647&lt;&gt;"",$A647&gt;=PeriodStart,$A647&lt;=PeriodEnd),$E647+ROW()/1000000,0),0)</f>
        <v>0</v>
      </c>
    </row>
    <row r="648" customFormat="false" ht="15" hidden="false" customHeight="false" outlineLevel="0" collapsed="false">
      <c r="A648" s="75"/>
      <c r="B648" s="76"/>
      <c r="C648" s="77"/>
      <c r="D648" s="77"/>
      <c r="E648" s="78"/>
      <c r="F648" s="77"/>
      <c r="G648" s="77"/>
      <c r="H648" s="79" t="n">
        <f aca="false">N(H647)+IFERROR(IF(AND($A648&lt;&gt;"",$E648&lt;&gt;"",$A648&gt;=IF(Search!$E$4="",0,Search!$E$4),$A648&lt;=IF(Search!$E$5="",99999,Search!$E$5),OR(Search!$E$6="",ISNUMBER(SEARCH(Search!$E$6,$C648))),OR(Search!$E$7="All",Search!$E$7="",$D648=Search!$E$7),OR(Search!$E$8="",Search!$E$9="",AND($B648&lt;&gt;"",MOD($B648,1)&gt;=Search!$E$8,MOD($B648,1)&lt;=Search!$E$9))),1,0),0)</f>
        <v>0</v>
      </c>
      <c r="I648" s="79" t="n">
        <f aca="false">IF(H648&gt;N(H647),$E648,0)</f>
        <v>0</v>
      </c>
      <c r="J648" s="79" t="n">
        <f aca="false">IFERROR(IF(AND($A648&lt;&gt;"",$E648&lt;&gt;"",$A648&gt;=PeriodStart,$A648&lt;=PeriodEnd),$E648+ROW()/1000000,0),0)</f>
        <v>0</v>
      </c>
    </row>
    <row r="649" customFormat="false" ht="15" hidden="false" customHeight="false" outlineLevel="0" collapsed="false">
      <c r="A649" s="75"/>
      <c r="B649" s="76"/>
      <c r="C649" s="77"/>
      <c r="D649" s="77"/>
      <c r="E649" s="78"/>
      <c r="F649" s="77"/>
      <c r="G649" s="77"/>
      <c r="H649" s="79" t="n">
        <f aca="false">N(H648)+IFERROR(IF(AND($A649&lt;&gt;"",$E649&lt;&gt;"",$A649&gt;=IF(Search!$E$4="",0,Search!$E$4),$A649&lt;=IF(Search!$E$5="",99999,Search!$E$5),OR(Search!$E$6="",ISNUMBER(SEARCH(Search!$E$6,$C649))),OR(Search!$E$7="All",Search!$E$7="",$D649=Search!$E$7),OR(Search!$E$8="",Search!$E$9="",AND($B649&lt;&gt;"",MOD($B649,1)&gt;=Search!$E$8,MOD($B649,1)&lt;=Search!$E$9))),1,0),0)</f>
        <v>0</v>
      </c>
      <c r="I649" s="79" t="n">
        <f aca="false">IF(H649&gt;N(H648),$E649,0)</f>
        <v>0</v>
      </c>
      <c r="J649" s="79" t="n">
        <f aca="false">IFERROR(IF(AND($A649&lt;&gt;"",$E649&lt;&gt;"",$A649&gt;=PeriodStart,$A649&lt;=PeriodEnd),$E649+ROW()/1000000,0),0)</f>
        <v>0</v>
      </c>
    </row>
    <row r="650" customFormat="false" ht="15" hidden="false" customHeight="false" outlineLevel="0" collapsed="false">
      <c r="A650" s="75"/>
      <c r="B650" s="76"/>
      <c r="C650" s="77"/>
      <c r="D650" s="77"/>
      <c r="E650" s="78"/>
      <c r="F650" s="77"/>
      <c r="G650" s="77"/>
      <c r="H650" s="79" t="n">
        <f aca="false">N(H649)+IFERROR(IF(AND($A650&lt;&gt;"",$E650&lt;&gt;"",$A650&gt;=IF(Search!$E$4="",0,Search!$E$4),$A650&lt;=IF(Search!$E$5="",99999,Search!$E$5),OR(Search!$E$6="",ISNUMBER(SEARCH(Search!$E$6,$C650))),OR(Search!$E$7="All",Search!$E$7="",$D650=Search!$E$7),OR(Search!$E$8="",Search!$E$9="",AND($B650&lt;&gt;"",MOD($B650,1)&gt;=Search!$E$8,MOD($B650,1)&lt;=Search!$E$9))),1,0),0)</f>
        <v>0</v>
      </c>
      <c r="I650" s="79" t="n">
        <f aca="false">IF(H650&gt;N(H649),$E650,0)</f>
        <v>0</v>
      </c>
      <c r="J650" s="79" t="n">
        <f aca="false">IFERROR(IF(AND($A650&lt;&gt;"",$E650&lt;&gt;"",$A650&gt;=PeriodStart,$A650&lt;=PeriodEnd),$E650+ROW()/1000000,0),0)</f>
        <v>0</v>
      </c>
    </row>
    <row r="651" customFormat="false" ht="15" hidden="false" customHeight="false" outlineLevel="0" collapsed="false">
      <c r="A651" s="75"/>
      <c r="B651" s="76"/>
      <c r="C651" s="77"/>
      <c r="D651" s="77"/>
      <c r="E651" s="78"/>
      <c r="F651" s="77"/>
      <c r="G651" s="77"/>
      <c r="H651" s="79" t="n">
        <f aca="false">N(H650)+IFERROR(IF(AND($A651&lt;&gt;"",$E651&lt;&gt;"",$A651&gt;=IF(Search!$E$4="",0,Search!$E$4),$A651&lt;=IF(Search!$E$5="",99999,Search!$E$5),OR(Search!$E$6="",ISNUMBER(SEARCH(Search!$E$6,$C651))),OR(Search!$E$7="All",Search!$E$7="",$D651=Search!$E$7),OR(Search!$E$8="",Search!$E$9="",AND($B651&lt;&gt;"",MOD($B651,1)&gt;=Search!$E$8,MOD($B651,1)&lt;=Search!$E$9))),1,0),0)</f>
        <v>0</v>
      </c>
      <c r="I651" s="79" t="n">
        <f aca="false">IF(H651&gt;N(H650),$E651,0)</f>
        <v>0</v>
      </c>
      <c r="J651" s="79" t="n">
        <f aca="false">IFERROR(IF(AND($A651&lt;&gt;"",$E651&lt;&gt;"",$A651&gt;=PeriodStart,$A651&lt;=PeriodEnd),$E651+ROW()/1000000,0),0)</f>
        <v>0</v>
      </c>
    </row>
    <row r="652" customFormat="false" ht="15" hidden="false" customHeight="false" outlineLevel="0" collapsed="false">
      <c r="A652" s="75"/>
      <c r="B652" s="76"/>
      <c r="C652" s="77"/>
      <c r="D652" s="77"/>
      <c r="E652" s="78"/>
      <c r="F652" s="77"/>
      <c r="G652" s="77"/>
      <c r="H652" s="79" t="n">
        <f aca="false">N(H651)+IFERROR(IF(AND($A652&lt;&gt;"",$E652&lt;&gt;"",$A652&gt;=IF(Search!$E$4="",0,Search!$E$4),$A652&lt;=IF(Search!$E$5="",99999,Search!$E$5),OR(Search!$E$6="",ISNUMBER(SEARCH(Search!$E$6,$C652))),OR(Search!$E$7="All",Search!$E$7="",$D652=Search!$E$7),OR(Search!$E$8="",Search!$E$9="",AND($B652&lt;&gt;"",MOD($B652,1)&gt;=Search!$E$8,MOD($B652,1)&lt;=Search!$E$9))),1,0),0)</f>
        <v>0</v>
      </c>
      <c r="I652" s="79" t="n">
        <f aca="false">IF(H652&gt;N(H651),$E652,0)</f>
        <v>0</v>
      </c>
      <c r="J652" s="79" t="n">
        <f aca="false">IFERROR(IF(AND($A652&lt;&gt;"",$E652&lt;&gt;"",$A652&gt;=PeriodStart,$A652&lt;=PeriodEnd),$E652+ROW()/1000000,0),0)</f>
        <v>0</v>
      </c>
    </row>
    <row r="653" customFormat="false" ht="15" hidden="false" customHeight="false" outlineLevel="0" collapsed="false">
      <c r="A653" s="75"/>
      <c r="B653" s="76"/>
      <c r="C653" s="77"/>
      <c r="D653" s="77"/>
      <c r="E653" s="78"/>
      <c r="F653" s="77"/>
      <c r="G653" s="77"/>
      <c r="H653" s="79" t="n">
        <f aca="false">N(H652)+IFERROR(IF(AND($A653&lt;&gt;"",$E653&lt;&gt;"",$A653&gt;=IF(Search!$E$4="",0,Search!$E$4),$A653&lt;=IF(Search!$E$5="",99999,Search!$E$5),OR(Search!$E$6="",ISNUMBER(SEARCH(Search!$E$6,$C653))),OR(Search!$E$7="All",Search!$E$7="",$D653=Search!$E$7),OR(Search!$E$8="",Search!$E$9="",AND($B653&lt;&gt;"",MOD($B653,1)&gt;=Search!$E$8,MOD($B653,1)&lt;=Search!$E$9))),1,0),0)</f>
        <v>0</v>
      </c>
      <c r="I653" s="79" t="n">
        <f aca="false">IF(H653&gt;N(H652),$E653,0)</f>
        <v>0</v>
      </c>
      <c r="J653" s="79" t="n">
        <f aca="false">IFERROR(IF(AND($A653&lt;&gt;"",$E653&lt;&gt;"",$A653&gt;=PeriodStart,$A653&lt;=PeriodEnd),$E653+ROW()/1000000,0),0)</f>
        <v>0</v>
      </c>
    </row>
    <row r="654" customFormat="false" ht="15" hidden="false" customHeight="false" outlineLevel="0" collapsed="false">
      <c r="A654" s="75"/>
      <c r="B654" s="76"/>
      <c r="C654" s="77"/>
      <c r="D654" s="77"/>
      <c r="E654" s="78"/>
      <c r="F654" s="77"/>
      <c r="G654" s="77"/>
      <c r="H654" s="79" t="n">
        <f aca="false">N(H653)+IFERROR(IF(AND($A654&lt;&gt;"",$E654&lt;&gt;"",$A654&gt;=IF(Search!$E$4="",0,Search!$E$4),$A654&lt;=IF(Search!$E$5="",99999,Search!$E$5),OR(Search!$E$6="",ISNUMBER(SEARCH(Search!$E$6,$C654))),OR(Search!$E$7="All",Search!$E$7="",$D654=Search!$E$7),OR(Search!$E$8="",Search!$E$9="",AND($B654&lt;&gt;"",MOD($B654,1)&gt;=Search!$E$8,MOD($B654,1)&lt;=Search!$E$9))),1,0),0)</f>
        <v>0</v>
      </c>
      <c r="I654" s="79" t="n">
        <f aca="false">IF(H654&gt;N(H653),$E654,0)</f>
        <v>0</v>
      </c>
      <c r="J654" s="79" t="n">
        <f aca="false">IFERROR(IF(AND($A654&lt;&gt;"",$E654&lt;&gt;"",$A654&gt;=PeriodStart,$A654&lt;=PeriodEnd),$E654+ROW()/1000000,0),0)</f>
        <v>0</v>
      </c>
    </row>
    <row r="655" customFormat="false" ht="15" hidden="false" customHeight="false" outlineLevel="0" collapsed="false">
      <c r="A655" s="75"/>
      <c r="B655" s="76"/>
      <c r="C655" s="77"/>
      <c r="D655" s="77"/>
      <c r="E655" s="78"/>
      <c r="F655" s="77"/>
      <c r="G655" s="77"/>
      <c r="H655" s="79" t="n">
        <f aca="false">N(H654)+IFERROR(IF(AND($A655&lt;&gt;"",$E655&lt;&gt;"",$A655&gt;=IF(Search!$E$4="",0,Search!$E$4),$A655&lt;=IF(Search!$E$5="",99999,Search!$E$5),OR(Search!$E$6="",ISNUMBER(SEARCH(Search!$E$6,$C655))),OR(Search!$E$7="All",Search!$E$7="",$D655=Search!$E$7),OR(Search!$E$8="",Search!$E$9="",AND($B655&lt;&gt;"",MOD($B655,1)&gt;=Search!$E$8,MOD($B655,1)&lt;=Search!$E$9))),1,0),0)</f>
        <v>0</v>
      </c>
      <c r="I655" s="79" t="n">
        <f aca="false">IF(H655&gt;N(H654),$E655,0)</f>
        <v>0</v>
      </c>
      <c r="J655" s="79" t="n">
        <f aca="false">IFERROR(IF(AND($A655&lt;&gt;"",$E655&lt;&gt;"",$A655&gt;=PeriodStart,$A655&lt;=PeriodEnd),$E655+ROW()/1000000,0),0)</f>
        <v>0</v>
      </c>
    </row>
    <row r="656" customFormat="false" ht="15" hidden="false" customHeight="false" outlineLevel="0" collapsed="false">
      <c r="A656" s="75"/>
      <c r="B656" s="76"/>
      <c r="C656" s="77"/>
      <c r="D656" s="77"/>
      <c r="E656" s="78"/>
      <c r="F656" s="77"/>
      <c r="G656" s="77"/>
      <c r="H656" s="79" t="n">
        <f aca="false">N(H655)+IFERROR(IF(AND($A656&lt;&gt;"",$E656&lt;&gt;"",$A656&gt;=IF(Search!$E$4="",0,Search!$E$4),$A656&lt;=IF(Search!$E$5="",99999,Search!$E$5),OR(Search!$E$6="",ISNUMBER(SEARCH(Search!$E$6,$C656))),OR(Search!$E$7="All",Search!$E$7="",$D656=Search!$E$7),OR(Search!$E$8="",Search!$E$9="",AND($B656&lt;&gt;"",MOD($B656,1)&gt;=Search!$E$8,MOD($B656,1)&lt;=Search!$E$9))),1,0),0)</f>
        <v>0</v>
      </c>
      <c r="I656" s="79" t="n">
        <f aca="false">IF(H656&gt;N(H655),$E656,0)</f>
        <v>0</v>
      </c>
      <c r="J656" s="79" t="n">
        <f aca="false">IFERROR(IF(AND($A656&lt;&gt;"",$E656&lt;&gt;"",$A656&gt;=PeriodStart,$A656&lt;=PeriodEnd),$E656+ROW()/1000000,0),0)</f>
        <v>0</v>
      </c>
    </row>
    <row r="657" customFormat="false" ht="15" hidden="false" customHeight="false" outlineLevel="0" collapsed="false">
      <c r="A657" s="75"/>
      <c r="B657" s="76"/>
      <c r="C657" s="77"/>
      <c r="D657" s="77"/>
      <c r="E657" s="78"/>
      <c r="F657" s="77"/>
      <c r="G657" s="77"/>
      <c r="H657" s="79" t="n">
        <f aca="false">N(H656)+IFERROR(IF(AND($A657&lt;&gt;"",$E657&lt;&gt;"",$A657&gt;=IF(Search!$E$4="",0,Search!$E$4),$A657&lt;=IF(Search!$E$5="",99999,Search!$E$5),OR(Search!$E$6="",ISNUMBER(SEARCH(Search!$E$6,$C657))),OR(Search!$E$7="All",Search!$E$7="",$D657=Search!$E$7),OR(Search!$E$8="",Search!$E$9="",AND($B657&lt;&gt;"",MOD($B657,1)&gt;=Search!$E$8,MOD($B657,1)&lt;=Search!$E$9))),1,0),0)</f>
        <v>0</v>
      </c>
      <c r="I657" s="79" t="n">
        <f aca="false">IF(H657&gt;N(H656),$E657,0)</f>
        <v>0</v>
      </c>
      <c r="J657" s="79" t="n">
        <f aca="false">IFERROR(IF(AND($A657&lt;&gt;"",$E657&lt;&gt;"",$A657&gt;=PeriodStart,$A657&lt;=PeriodEnd),$E657+ROW()/1000000,0),0)</f>
        <v>0</v>
      </c>
    </row>
    <row r="658" customFormat="false" ht="15" hidden="false" customHeight="false" outlineLevel="0" collapsed="false">
      <c r="A658" s="75"/>
      <c r="B658" s="76"/>
      <c r="C658" s="77"/>
      <c r="D658" s="77"/>
      <c r="E658" s="78"/>
      <c r="F658" s="77"/>
      <c r="G658" s="77"/>
      <c r="H658" s="79" t="n">
        <f aca="false">N(H657)+IFERROR(IF(AND($A658&lt;&gt;"",$E658&lt;&gt;"",$A658&gt;=IF(Search!$E$4="",0,Search!$E$4),$A658&lt;=IF(Search!$E$5="",99999,Search!$E$5),OR(Search!$E$6="",ISNUMBER(SEARCH(Search!$E$6,$C658))),OR(Search!$E$7="All",Search!$E$7="",$D658=Search!$E$7),OR(Search!$E$8="",Search!$E$9="",AND($B658&lt;&gt;"",MOD($B658,1)&gt;=Search!$E$8,MOD($B658,1)&lt;=Search!$E$9))),1,0),0)</f>
        <v>0</v>
      </c>
      <c r="I658" s="79" t="n">
        <f aca="false">IF(H658&gt;N(H657),$E658,0)</f>
        <v>0</v>
      </c>
      <c r="J658" s="79" t="n">
        <f aca="false">IFERROR(IF(AND($A658&lt;&gt;"",$E658&lt;&gt;"",$A658&gt;=PeriodStart,$A658&lt;=PeriodEnd),$E658+ROW()/1000000,0),0)</f>
        <v>0</v>
      </c>
    </row>
    <row r="659" customFormat="false" ht="15" hidden="false" customHeight="false" outlineLevel="0" collapsed="false">
      <c r="A659" s="75"/>
      <c r="B659" s="76"/>
      <c r="C659" s="77"/>
      <c r="D659" s="77"/>
      <c r="E659" s="78"/>
      <c r="F659" s="77"/>
      <c r="G659" s="77"/>
      <c r="H659" s="79" t="n">
        <f aca="false">N(H658)+IFERROR(IF(AND($A659&lt;&gt;"",$E659&lt;&gt;"",$A659&gt;=IF(Search!$E$4="",0,Search!$E$4),$A659&lt;=IF(Search!$E$5="",99999,Search!$E$5),OR(Search!$E$6="",ISNUMBER(SEARCH(Search!$E$6,$C659))),OR(Search!$E$7="All",Search!$E$7="",$D659=Search!$E$7),OR(Search!$E$8="",Search!$E$9="",AND($B659&lt;&gt;"",MOD($B659,1)&gt;=Search!$E$8,MOD($B659,1)&lt;=Search!$E$9))),1,0),0)</f>
        <v>0</v>
      </c>
      <c r="I659" s="79" t="n">
        <f aca="false">IF(H659&gt;N(H658),$E659,0)</f>
        <v>0</v>
      </c>
      <c r="J659" s="79" t="n">
        <f aca="false">IFERROR(IF(AND($A659&lt;&gt;"",$E659&lt;&gt;"",$A659&gt;=PeriodStart,$A659&lt;=PeriodEnd),$E659+ROW()/1000000,0),0)</f>
        <v>0</v>
      </c>
    </row>
    <row r="660" customFormat="false" ht="15" hidden="false" customHeight="false" outlineLevel="0" collapsed="false">
      <c r="A660" s="75"/>
      <c r="B660" s="76"/>
      <c r="C660" s="77"/>
      <c r="D660" s="77"/>
      <c r="E660" s="78"/>
      <c r="F660" s="77"/>
      <c r="G660" s="77"/>
      <c r="H660" s="79" t="n">
        <f aca="false">N(H659)+IFERROR(IF(AND($A660&lt;&gt;"",$E660&lt;&gt;"",$A660&gt;=IF(Search!$E$4="",0,Search!$E$4),$A660&lt;=IF(Search!$E$5="",99999,Search!$E$5),OR(Search!$E$6="",ISNUMBER(SEARCH(Search!$E$6,$C660))),OR(Search!$E$7="All",Search!$E$7="",$D660=Search!$E$7),OR(Search!$E$8="",Search!$E$9="",AND($B660&lt;&gt;"",MOD($B660,1)&gt;=Search!$E$8,MOD($B660,1)&lt;=Search!$E$9))),1,0),0)</f>
        <v>0</v>
      </c>
      <c r="I660" s="79" t="n">
        <f aca="false">IF(H660&gt;N(H659),$E660,0)</f>
        <v>0</v>
      </c>
      <c r="J660" s="79" t="n">
        <f aca="false">IFERROR(IF(AND($A660&lt;&gt;"",$E660&lt;&gt;"",$A660&gt;=PeriodStart,$A660&lt;=PeriodEnd),$E660+ROW()/1000000,0),0)</f>
        <v>0</v>
      </c>
    </row>
    <row r="661" customFormat="false" ht="15" hidden="false" customHeight="false" outlineLevel="0" collapsed="false">
      <c r="A661" s="75"/>
      <c r="B661" s="76"/>
      <c r="C661" s="77"/>
      <c r="D661" s="77"/>
      <c r="E661" s="78"/>
      <c r="F661" s="77"/>
      <c r="G661" s="77"/>
      <c r="H661" s="79" t="n">
        <f aca="false">N(H660)+IFERROR(IF(AND($A661&lt;&gt;"",$E661&lt;&gt;"",$A661&gt;=IF(Search!$E$4="",0,Search!$E$4),$A661&lt;=IF(Search!$E$5="",99999,Search!$E$5),OR(Search!$E$6="",ISNUMBER(SEARCH(Search!$E$6,$C661))),OR(Search!$E$7="All",Search!$E$7="",$D661=Search!$E$7),OR(Search!$E$8="",Search!$E$9="",AND($B661&lt;&gt;"",MOD($B661,1)&gt;=Search!$E$8,MOD($B661,1)&lt;=Search!$E$9))),1,0),0)</f>
        <v>0</v>
      </c>
      <c r="I661" s="79" t="n">
        <f aca="false">IF(H661&gt;N(H660),$E661,0)</f>
        <v>0</v>
      </c>
      <c r="J661" s="79" t="n">
        <f aca="false">IFERROR(IF(AND($A661&lt;&gt;"",$E661&lt;&gt;"",$A661&gt;=PeriodStart,$A661&lt;=PeriodEnd),$E661+ROW()/1000000,0),0)</f>
        <v>0</v>
      </c>
    </row>
    <row r="662" customFormat="false" ht="15" hidden="false" customHeight="false" outlineLevel="0" collapsed="false">
      <c r="A662" s="75"/>
      <c r="B662" s="76"/>
      <c r="C662" s="77"/>
      <c r="D662" s="77"/>
      <c r="E662" s="78"/>
      <c r="F662" s="77"/>
      <c r="G662" s="77"/>
      <c r="H662" s="79" t="n">
        <f aca="false">N(H661)+IFERROR(IF(AND($A662&lt;&gt;"",$E662&lt;&gt;"",$A662&gt;=IF(Search!$E$4="",0,Search!$E$4),$A662&lt;=IF(Search!$E$5="",99999,Search!$E$5),OR(Search!$E$6="",ISNUMBER(SEARCH(Search!$E$6,$C662))),OR(Search!$E$7="All",Search!$E$7="",$D662=Search!$E$7),OR(Search!$E$8="",Search!$E$9="",AND($B662&lt;&gt;"",MOD($B662,1)&gt;=Search!$E$8,MOD($B662,1)&lt;=Search!$E$9))),1,0),0)</f>
        <v>0</v>
      </c>
      <c r="I662" s="79" t="n">
        <f aca="false">IF(H662&gt;N(H661),$E662,0)</f>
        <v>0</v>
      </c>
      <c r="J662" s="79" t="n">
        <f aca="false">IFERROR(IF(AND($A662&lt;&gt;"",$E662&lt;&gt;"",$A662&gt;=PeriodStart,$A662&lt;=PeriodEnd),$E662+ROW()/1000000,0),0)</f>
        <v>0</v>
      </c>
    </row>
    <row r="663" customFormat="false" ht="15" hidden="false" customHeight="false" outlineLevel="0" collapsed="false">
      <c r="A663" s="75"/>
      <c r="B663" s="76"/>
      <c r="C663" s="77"/>
      <c r="D663" s="77"/>
      <c r="E663" s="78"/>
      <c r="F663" s="77"/>
      <c r="G663" s="77"/>
      <c r="H663" s="79" t="n">
        <f aca="false">N(H662)+IFERROR(IF(AND($A663&lt;&gt;"",$E663&lt;&gt;"",$A663&gt;=IF(Search!$E$4="",0,Search!$E$4),$A663&lt;=IF(Search!$E$5="",99999,Search!$E$5),OR(Search!$E$6="",ISNUMBER(SEARCH(Search!$E$6,$C663))),OR(Search!$E$7="All",Search!$E$7="",$D663=Search!$E$7),OR(Search!$E$8="",Search!$E$9="",AND($B663&lt;&gt;"",MOD($B663,1)&gt;=Search!$E$8,MOD($B663,1)&lt;=Search!$E$9))),1,0),0)</f>
        <v>0</v>
      </c>
      <c r="I663" s="79" t="n">
        <f aca="false">IF(H663&gt;N(H662),$E663,0)</f>
        <v>0</v>
      </c>
      <c r="J663" s="79" t="n">
        <f aca="false">IFERROR(IF(AND($A663&lt;&gt;"",$E663&lt;&gt;"",$A663&gt;=PeriodStart,$A663&lt;=PeriodEnd),$E663+ROW()/1000000,0),0)</f>
        <v>0</v>
      </c>
    </row>
    <row r="664" customFormat="false" ht="15" hidden="false" customHeight="false" outlineLevel="0" collapsed="false">
      <c r="A664" s="75"/>
      <c r="B664" s="76"/>
      <c r="C664" s="77"/>
      <c r="D664" s="77"/>
      <c r="E664" s="78"/>
      <c r="F664" s="77"/>
      <c r="G664" s="77"/>
      <c r="H664" s="79" t="n">
        <f aca="false">N(H663)+IFERROR(IF(AND($A664&lt;&gt;"",$E664&lt;&gt;"",$A664&gt;=IF(Search!$E$4="",0,Search!$E$4),$A664&lt;=IF(Search!$E$5="",99999,Search!$E$5),OR(Search!$E$6="",ISNUMBER(SEARCH(Search!$E$6,$C664))),OR(Search!$E$7="All",Search!$E$7="",$D664=Search!$E$7),OR(Search!$E$8="",Search!$E$9="",AND($B664&lt;&gt;"",MOD($B664,1)&gt;=Search!$E$8,MOD($B664,1)&lt;=Search!$E$9))),1,0),0)</f>
        <v>0</v>
      </c>
      <c r="I664" s="79" t="n">
        <f aca="false">IF(H664&gt;N(H663),$E664,0)</f>
        <v>0</v>
      </c>
      <c r="J664" s="79" t="n">
        <f aca="false">IFERROR(IF(AND($A664&lt;&gt;"",$E664&lt;&gt;"",$A664&gt;=PeriodStart,$A664&lt;=PeriodEnd),$E664+ROW()/1000000,0),0)</f>
        <v>0</v>
      </c>
    </row>
    <row r="665" customFormat="false" ht="15" hidden="false" customHeight="false" outlineLevel="0" collapsed="false">
      <c r="A665" s="75"/>
      <c r="B665" s="76"/>
      <c r="C665" s="77"/>
      <c r="D665" s="77"/>
      <c r="E665" s="78"/>
      <c r="F665" s="77"/>
      <c r="G665" s="77"/>
      <c r="H665" s="79" t="n">
        <f aca="false">N(H664)+IFERROR(IF(AND($A665&lt;&gt;"",$E665&lt;&gt;"",$A665&gt;=IF(Search!$E$4="",0,Search!$E$4),$A665&lt;=IF(Search!$E$5="",99999,Search!$E$5),OR(Search!$E$6="",ISNUMBER(SEARCH(Search!$E$6,$C665))),OR(Search!$E$7="All",Search!$E$7="",$D665=Search!$E$7),OR(Search!$E$8="",Search!$E$9="",AND($B665&lt;&gt;"",MOD($B665,1)&gt;=Search!$E$8,MOD($B665,1)&lt;=Search!$E$9))),1,0),0)</f>
        <v>0</v>
      </c>
      <c r="I665" s="79" t="n">
        <f aca="false">IF(H665&gt;N(H664),$E665,0)</f>
        <v>0</v>
      </c>
      <c r="J665" s="79" t="n">
        <f aca="false">IFERROR(IF(AND($A665&lt;&gt;"",$E665&lt;&gt;"",$A665&gt;=PeriodStart,$A665&lt;=PeriodEnd),$E665+ROW()/1000000,0),0)</f>
        <v>0</v>
      </c>
    </row>
    <row r="666" customFormat="false" ht="15" hidden="false" customHeight="false" outlineLevel="0" collapsed="false">
      <c r="A666" s="75"/>
      <c r="B666" s="76"/>
      <c r="C666" s="77"/>
      <c r="D666" s="77"/>
      <c r="E666" s="78"/>
      <c r="F666" s="77"/>
      <c r="G666" s="77"/>
      <c r="H666" s="79" t="n">
        <f aca="false">N(H665)+IFERROR(IF(AND($A666&lt;&gt;"",$E666&lt;&gt;"",$A666&gt;=IF(Search!$E$4="",0,Search!$E$4),$A666&lt;=IF(Search!$E$5="",99999,Search!$E$5),OR(Search!$E$6="",ISNUMBER(SEARCH(Search!$E$6,$C666))),OR(Search!$E$7="All",Search!$E$7="",$D666=Search!$E$7),OR(Search!$E$8="",Search!$E$9="",AND($B666&lt;&gt;"",MOD($B666,1)&gt;=Search!$E$8,MOD($B666,1)&lt;=Search!$E$9))),1,0),0)</f>
        <v>0</v>
      </c>
      <c r="I666" s="79" t="n">
        <f aca="false">IF(H666&gt;N(H665),$E666,0)</f>
        <v>0</v>
      </c>
      <c r="J666" s="79" t="n">
        <f aca="false">IFERROR(IF(AND($A666&lt;&gt;"",$E666&lt;&gt;"",$A666&gt;=PeriodStart,$A666&lt;=PeriodEnd),$E666+ROW()/1000000,0),0)</f>
        <v>0</v>
      </c>
    </row>
    <row r="667" customFormat="false" ht="15" hidden="false" customHeight="false" outlineLevel="0" collapsed="false">
      <c r="A667" s="75"/>
      <c r="B667" s="76"/>
      <c r="C667" s="77"/>
      <c r="D667" s="77"/>
      <c r="E667" s="78"/>
      <c r="F667" s="77"/>
      <c r="G667" s="77"/>
      <c r="H667" s="79" t="n">
        <f aca="false">N(H666)+IFERROR(IF(AND($A667&lt;&gt;"",$E667&lt;&gt;"",$A667&gt;=IF(Search!$E$4="",0,Search!$E$4),$A667&lt;=IF(Search!$E$5="",99999,Search!$E$5),OR(Search!$E$6="",ISNUMBER(SEARCH(Search!$E$6,$C667))),OR(Search!$E$7="All",Search!$E$7="",$D667=Search!$E$7),OR(Search!$E$8="",Search!$E$9="",AND($B667&lt;&gt;"",MOD($B667,1)&gt;=Search!$E$8,MOD($B667,1)&lt;=Search!$E$9))),1,0),0)</f>
        <v>0</v>
      </c>
      <c r="I667" s="79" t="n">
        <f aca="false">IF(H667&gt;N(H666),$E667,0)</f>
        <v>0</v>
      </c>
      <c r="J667" s="79" t="n">
        <f aca="false">IFERROR(IF(AND($A667&lt;&gt;"",$E667&lt;&gt;"",$A667&gt;=PeriodStart,$A667&lt;=PeriodEnd),$E667+ROW()/1000000,0),0)</f>
        <v>0</v>
      </c>
    </row>
    <row r="668" customFormat="false" ht="15" hidden="false" customHeight="false" outlineLevel="0" collapsed="false">
      <c r="A668" s="75"/>
      <c r="B668" s="76"/>
      <c r="C668" s="77"/>
      <c r="D668" s="77"/>
      <c r="E668" s="78"/>
      <c r="F668" s="77"/>
      <c r="G668" s="77"/>
      <c r="H668" s="79" t="n">
        <f aca="false">N(H667)+IFERROR(IF(AND($A668&lt;&gt;"",$E668&lt;&gt;"",$A668&gt;=IF(Search!$E$4="",0,Search!$E$4),$A668&lt;=IF(Search!$E$5="",99999,Search!$E$5),OR(Search!$E$6="",ISNUMBER(SEARCH(Search!$E$6,$C668))),OR(Search!$E$7="All",Search!$E$7="",$D668=Search!$E$7),OR(Search!$E$8="",Search!$E$9="",AND($B668&lt;&gt;"",MOD($B668,1)&gt;=Search!$E$8,MOD($B668,1)&lt;=Search!$E$9))),1,0),0)</f>
        <v>0</v>
      </c>
      <c r="I668" s="79" t="n">
        <f aca="false">IF(H668&gt;N(H667),$E668,0)</f>
        <v>0</v>
      </c>
      <c r="J668" s="79" t="n">
        <f aca="false">IFERROR(IF(AND($A668&lt;&gt;"",$E668&lt;&gt;"",$A668&gt;=PeriodStart,$A668&lt;=PeriodEnd),$E668+ROW()/1000000,0),0)</f>
        <v>0</v>
      </c>
    </row>
    <row r="669" customFormat="false" ht="15" hidden="false" customHeight="false" outlineLevel="0" collapsed="false">
      <c r="A669" s="75"/>
      <c r="B669" s="76"/>
      <c r="C669" s="77"/>
      <c r="D669" s="77"/>
      <c r="E669" s="78"/>
      <c r="F669" s="77"/>
      <c r="G669" s="77"/>
      <c r="H669" s="79" t="n">
        <f aca="false">N(H668)+IFERROR(IF(AND($A669&lt;&gt;"",$E669&lt;&gt;"",$A669&gt;=IF(Search!$E$4="",0,Search!$E$4),$A669&lt;=IF(Search!$E$5="",99999,Search!$E$5),OR(Search!$E$6="",ISNUMBER(SEARCH(Search!$E$6,$C669))),OR(Search!$E$7="All",Search!$E$7="",$D669=Search!$E$7),OR(Search!$E$8="",Search!$E$9="",AND($B669&lt;&gt;"",MOD($B669,1)&gt;=Search!$E$8,MOD($B669,1)&lt;=Search!$E$9))),1,0),0)</f>
        <v>0</v>
      </c>
      <c r="I669" s="79" t="n">
        <f aca="false">IF(H669&gt;N(H668),$E669,0)</f>
        <v>0</v>
      </c>
      <c r="J669" s="79" t="n">
        <f aca="false">IFERROR(IF(AND($A669&lt;&gt;"",$E669&lt;&gt;"",$A669&gt;=PeriodStart,$A669&lt;=PeriodEnd),$E669+ROW()/1000000,0),0)</f>
        <v>0</v>
      </c>
    </row>
    <row r="670" customFormat="false" ht="15" hidden="false" customHeight="false" outlineLevel="0" collapsed="false">
      <c r="A670" s="75"/>
      <c r="B670" s="76"/>
      <c r="C670" s="77"/>
      <c r="D670" s="77"/>
      <c r="E670" s="78"/>
      <c r="F670" s="77"/>
      <c r="G670" s="77"/>
      <c r="H670" s="79" t="n">
        <f aca="false">N(H669)+IFERROR(IF(AND($A670&lt;&gt;"",$E670&lt;&gt;"",$A670&gt;=IF(Search!$E$4="",0,Search!$E$4),$A670&lt;=IF(Search!$E$5="",99999,Search!$E$5),OR(Search!$E$6="",ISNUMBER(SEARCH(Search!$E$6,$C670))),OR(Search!$E$7="All",Search!$E$7="",$D670=Search!$E$7),OR(Search!$E$8="",Search!$E$9="",AND($B670&lt;&gt;"",MOD($B670,1)&gt;=Search!$E$8,MOD($B670,1)&lt;=Search!$E$9))),1,0),0)</f>
        <v>0</v>
      </c>
      <c r="I670" s="79" t="n">
        <f aca="false">IF(H670&gt;N(H669),$E670,0)</f>
        <v>0</v>
      </c>
      <c r="J670" s="79" t="n">
        <f aca="false">IFERROR(IF(AND($A670&lt;&gt;"",$E670&lt;&gt;"",$A670&gt;=PeriodStart,$A670&lt;=PeriodEnd),$E670+ROW()/1000000,0),0)</f>
        <v>0</v>
      </c>
    </row>
    <row r="671" customFormat="false" ht="15" hidden="false" customHeight="false" outlineLevel="0" collapsed="false">
      <c r="A671" s="75"/>
      <c r="B671" s="76"/>
      <c r="C671" s="77"/>
      <c r="D671" s="77"/>
      <c r="E671" s="78"/>
      <c r="F671" s="77"/>
      <c r="G671" s="77"/>
      <c r="H671" s="79" t="n">
        <f aca="false">N(H670)+IFERROR(IF(AND($A671&lt;&gt;"",$E671&lt;&gt;"",$A671&gt;=IF(Search!$E$4="",0,Search!$E$4),$A671&lt;=IF(Search!$E$5="",99999,Search!$E$5),OR(Search!$E$6="",ISNUMBER(SEARCH(Search!$E$6,$C671))),OR(Search!$E$7="All",Search!$E$7="",$D671=Search!$E$7),OR(Search!$E$8="",Search!$E$9="",AND($B671&lt;&gt;"",MOD($B671,1)&gt;=Search!$E$8,MOD($B671,1)&lt;=Search!$E$9))),1,0),0)</f>
        <v>0</v>
      </c>
      <c r="I671" s="79" t="n">
        <f aca="false">IF(H671&gt;N(H670),$E671,0)</f>
        <v>0</v>
      </c>
      <c r="J671" s="79" t="n">
        <f aca="false">IFERROR(IF(AND($A671&lt;&gt;"",$E671&lt;&gt;"",$A671&gt;=PeriodStart,$A671&lt;=PeriodEnd),$E671+ROW()/1000000,0),0)</f>
        <v>0</v>
      </c>
    </row>
    <row r="672" customFormat="false" ht="15" hidden="false" customHeight="false" outlineLevel="0" collapsed="false">
      <c r="A672" s="75"/>
      <c r="B672" s="76"/>
      <c r="C672" s="77"/>
      <c r="D672" s="77"/>
      <c r="E672" s="78"/>
      <c r="F672" s="77"/>
      <c r="G672" s="77"/>
      <c r="H672" s="79" t="n">
        <f aca="false">N(H671)+IFERROR(IF(AND($A672&lt;&gt;"",$E672&lt;&gt;"",$A672&gt;=IF(Search!$E$4="",0,Search!$E$4),$A672&lt;=IF(Search!$E$5="",99999,Search!$E$5),OR(Search!$E$6="",ISNUMBER(SEARCH(Search!$E$6,$C672))),OR(Search!$E$7="All",Search!$E$7="",$D672=Search!$E$7),OR(Search!$E$8="",Search!$E$9="",AND($B672&lt;&gt;"",MOD($B672,1)&gt;=Search!$E$8,MOD($B672,1)&lt;=Search!$E$9))),1,0),0)</f>
        <v>0</v>
      </c>
      <c r="I672" s="79" t="n">
        <f aca="false">IF(H672&gt;N(H671),$E672,0)</f>
        <v>0</v>
      </c>
      <c r="J672" s="79" t="n">
        <f aca="false">IFERROR(IF(AND($A672&lt;&gt;"",$E672&lt;&gt;"",$A672&gt;=PeriodStart,$A672&lt;=PeriodEnd),$E672+ROW()/1000000,0),0)</f>
        <v>0</v>
      </c>
    </row>
    <row r="673" customFormat="false" ht="15" hidden="false" customHeight="false" outlineLevel="0" collapsed="false">
      <c r="A673" s="75"/>
      <c r="B673" s="76"/>
      <c r="C673" s="77"/>
      <c r="D673" s="77"/>
      <c r="E673" s="78"/>
      <c r="F673" s="77"/>
      <c r="G673" s="77"/>
      <c r="H673" s="79" t="n">
        <f aca="false">N(H672)+IFERROR(IF(AND($A673&lt;&gt;"",$E673&lt;&gt;"",$A673&gt;=IF(Search!$E$4="",0,Search!$E$4),$A673&lt;=IF(Search!$E$5="",99999,Search!$E$5),OR(Search!$E$6="",ISNUMBER(SEARCH(Search!$E$6,$C673))),OR(Search!$E$7="All",Search!$E$7="",$D673=Search!$E$7),OR(Search!$E$8="",Search!$E$9="",AND($B673&lt;&gt;"",MOD($B673,1)&gt;=Search!$E$8,MOD($B673,1)&lt;=Search!$E$9))),1,0),0)</f>
        <v>0</v>
      </c>
      <c r="I673" s="79" t="n">
        <f aca="false">IF(H673&gt;N(H672),$E673,0)</f>
        <v>0</v>
      </c>
      <c r="J673" s="79" t="n">
        <f aca="false">IFERROR(IF(AND($A673&lt;&gt;"",$E673&lt;&gt;"",$A673&gt;=PeriodStart,$A673&lt;=PeriodEnd),$E673+ROW()/1000000,0),0)</f>
        <v>0</v>
      </c>
    </row>
    <row r="674" customFormat="false" ht="15" hidden="false" customHeight="false" outlineLevel="0" collapsed="false">
      <c r="A674" s="75"/>
      <c r="B674" s="76"/>
      <c r="C674" s="77"/>
      <c r="D674" s="77"/>
      <c r="E674" s="78"/>
      <c r="F674" s="77"/>
      <c r="G674" s="77"/>
      <c r="H674" s="79" t="n">
        <f aca="false">N(H673)+IFERROR(IF(AND($A674&lt;&gt;"",$E674&lt;&gt;"",$A674&gt;=IF(Search!$E$4="",0,Search!$E$4),$A674&lt;=IF(Search!$E$5="",99999,Search!$E$5),OR(Search!$E$6="",ISNUMBER(SEARCH(Search!$E$6,$C674))),OR(Search!$E$7="All",Search!$E$7="",$D674=Search!$E$7),OR(Search!$E$8="",Search!$E$9="",AND($B674&lt;&gt;"",MOD($B674,1)&gt;=Search!$E$8,MOD($B674,1)&lt;=Search!$E$9))),1,0),0)</f>
        <v>0</v>
      </c>
      <c r="I674" s="79" t="n">
        <f aca="false">IF(H674&gt;N(H673),$E674,0)</f>
        <v>0</v>
      </c>
      <c r="J674" s="79" t="n">
        <f aca="false">IFERROR(IF(AND($A674&lt;&gt;"",$E674&lt;&gt;"",$A674&gt;=PeriodStart,$A674&lt;=PeriodEnd),$E674+ROW()/1000000,0),0)</f>
        <v>0</v>
      </c>
    </row>
    <row r="675" customFormat="false" ht="15" hidden="false" customHeight="false" outlineLevel="0" collapsed="false">
      <c r="A675" s="75"/>
      <c r="B675" s="76"/>
      <c r="C675" s="77"/>
      <c r="D675" s="77"/>
      <c r="E675" s="78"/>
      <c r="F675" s="77"/>
      <c r="G675" s="77"/>
      <c r="H675" s="79" t="n">
        <f aca="false">N(H674)+IFERROR(IF(AND($A675&lt;&gt;"",$E675&lt;&gt;"",$A675&gt;=IF(Search!$E$4="",0,Search!$E$4),$A675&lt;=IF(Search!$E$5="",99999,Search!$E$5),OR(Search!$E$6="",ISNUMBER(SEARCH(Search!$E$6,$C675))),OR(Search!$E$7="All",Search!$E$7="",$D675=Search!$E$7),OR(Search!$E$8="",Search!$E$9="",AND($B675&lt;&gt;"",MOD($B675,1)&gt;=Search!$E$8,MOD($B675,1)&lt;=Search!$E$9))),1,0),0)</f>
        <v>0</v>
      </c>
      <c r="I675" s="79" t="n">
        <f aca="false">IF(H675&gt;N(H674),$E675,0)</f>
        <v>0</v>
      </c>
      <c r="J675" s="79" t="n">
        <f aca="false">IFERROR(IF(AND($A675&lt;&gt;"",$E675&lt;&gt;"",$A675&gt;=PeriodStart,$A675&lt;=PeriodEnd),$E675+ROW()/1000000,0),0)</f>
        <v>0</v>
      </c>
    </row>
    <row r="676" customFormat="false" ht="15" hidden="false" customHeight="false" outlineLevel="0" collapsed="false">
      <c r="A676" s="75"/>
      <c r="B676" s="76"/>
      <c r="C676" s="77"/>
      <c r="D676" s="77"/>
      <c r="E676" s="78"/>
      <c r="F676" s="77"/>
      <c r="G676" s="77"/>
      <c r="H676" s="79" t="n">
        <f aca="false">N(H675)+IFERROR(IF(AND($A676&lt;&gt;"",$E676&lt;&gt;"",$A676&gt;=IF(Search!$E$4="",0,Search!$E$4),$A676&lt;=IF(Search!$E$5="",99999,Search!$E$5),OR(Search!$E$6="",ISNUMBER(SEARCH(Search!$E$6,$C676))),OR(Search!$E$7="All",Search!$E$7="",$D676=Search!$E$7),OR(Search!$E$8="",Search!$E$9="",AND($B676&lt;&gt;"",MOD($B676,1)&gt;=Search!$E$8,MOD($B676,1)&lt;=Search!$E$9))),1,0),0)</f>
        <v>0</v>
      </c>
      <c r="I676" s="79" t="n">
        <f aca="false">IF(H676&gt;N(H675),$E676,0)</f>
        <v>0</v>
      </c>
      <c r="J676" s="79" t="n">
        <f aca="false">IFERROR(IF(AND($A676&lt;&gt;"",$E676&lt;&gt;"",$A676&gt;=PeriodStart,$A676&lt;=PeriodEnd),$E676+ROW()/1000000,0),0)</f>
        <v>0</v>
      </c>
    </row>
    <row r="677" customFormat="false" ht="15" hidden="false" customHeight="false" outlineLevel="0" collapsed="false">
      <c r="A677" s="75"/>
      <c r="B677" s="76"/>
      <c r="C677" s="77"/>
      <c r="D677" s="77"/>
      <c r="E677" s="78"/>
      <c r="F677" s="77"/>
      <c r="G677" s="77"/>
      <c r="H677" s="79" t="n">
        <f aca="false">N(H676)+IFERROR(IF(AND($A677&lt;&gt;"",$E677&lt;&gt;"",$A677&gt;=IF(Search!$E$4="",0,Search!$E$4),$A677&lt;=IF(Search!$E$5="",99999,Search!$E$5),OR(Search!$E$6="",ISNUMBER(SEARCH(Search!$E$6,$C677))),OR(Search!$E$7="All",Search!$E$7="",$D677=Search!$E$7),OR(Search!$E$8="",Search!$E$9="",AND($B677&lt;&gt;"",MOD($B677,1)&gt;=Search!$E$8,MOD($B677,1)&lt;=Search!$E$9))),1,0),0)</f>
        <v>0</v>
      </c>
      <c r="I677" s="79" t="n">
        <f aca="false">IF(H677&gt;N(H676),$E677,0)</f>
        <v>0</v>
      </c>
      <c r="J677" s="79" t="n">
        <f aca="false">IFERROR(IF(AND($A677&lt;&gt;"",$E677&lt;&gt;"",$A677&gt;=PeriodStart,$A677&lt;=PeriodEnd),$E677+ROW()/1000000,0),0)</f>
        <v>0</v>
      </c>
    </row>
    <row r="678" customFormat="false" ht="15" hidden="false" customHeight="false" outlineLevel="0" collapsed="false">
      <c r="A678" s="75"/>
      <c r="B678" s="76"/>
      <c r="C678" s="77"/>
      <c r="D678" s="77"/>
      <c r="E678" s="78"/>
      <c r="F678" s="77"/>
      <c r="G678" s="77"/>
      <c r="H678" s="79" t="n">
        <f aca="false">N(H677)+IFERROR(IF(AND($A678&lt;&gt;"",$E678&lt;&gt;"",$A678&gt;=IF(Search!$E$4="",0,Search!$E$4),$A678&lt;=IF(Search!$E$5="",99999,Search!$E$5),OR(Search!$E$6="",ISNUMBER(SEARCH(Search!$E$6,$C678))),OR(Search!$E$7="All",Search!$E$7="",$D678=Search!$E$7),OR(Search!$E$8="",Search!$E$9="",AND($B678&lt;&gt;"",MOD($B678,1)&gt;=Search!$E$8,MOD($B678,1)&lt;=Search!$E$9))),1,0),0)</f>
        <v>0</v>
      </c>
      <c r="I678" s="79" t="n">
        <f aca="false">IF(H678&gt;N(H677),$E678,0)</f>
        <v>0</v>
      </c>
      <c r="J678" s="79" t="n">
        <f aca="false">IFERROR(IF(AND($A678&lt;&gt;"",$E678&lt;&gt;"",$A678&gt;=PeriodStart,$A678&lt;=PeriodEnd),$E678+ROW()/1000000,0),0)</f>
        <v>0</v>
      </c>
    </row>
    <row r="679" customFormat="false" ht="15" hidden="false" customHeight="false" outlineLevel="0" collapsed="false">
      <c r="A679" s="75"/>
      <c r="B679" s="76"/>
      <c r="C679" s="77"/>
      <c r="D679" s="77"/>
      <c r="E679" s="78"/>
      <c r="F679" s="77"/>
      <c r="G679" s="77"/>
      <c r="H679" s="79" t="n">
        <f aca="false">N(H678)+IFERROR(IF(AND($A679&lt;&gt;"",$E679&lt;&gt;"",$A679&gt;=IF(Search!$E$4="",0,Search!$E$4),$A679&lt;=IF(Search!$E$5="",99999,Search!$E$5),OR(Search!$E$6="",ISNUMBER(SEARCH(Search!$E$6,$C679))),OR(Search!$E$7="All",Search!$E$7="",$D679=Search!$E$7),OR(Search!$E$8="",Search!$E$9="",AND($B679&lt;&gt;"",MOD($B679,1)&gt;=Search!$E$8,MOD($B679,1)&lt;=Search!$E$9))),1,0),0)</f>
        <v>0</v>
      </c>
      <c r="I679" s="79" t="n">
        <f aca="false">IF(H679&gt;N(H678),$E679,0)</f>
        <v>0</v>
      </c>
      <c r="J679" s="79" t="n">
        <f aca="false">IFERROR(IF(AND($A679&lt;&gt;"",$E679&lt;&gt;"",$A679&gt;=PeriodStart,$A679&lt;=PeriodEnd),$E679+ROW()/1000000,0),0)</f>
        <v>0</v>
      </c>
    </row>
    <row r="680" customFormat="false" ht="15" hidden="false" customHeight="false" outlineLevel="0" collapsed="false">
      <c r="A680" s="75"/>
      <c r="B680" s="76"/>
      <c r="C680" s="77"/>
      <c r="D680" s="77"/>
      <c r="E680" s="78"/>
      <c r="F680" s="77"/>
      <c r="G680" s="77"/>
      <c r="H680" s="79" t="n">
        <f aca="false">N(H679)+IFERROR(IF(AND($A680&lt;&gt;"",$E680&lt;&gt;"",$A680&gt;=IF(Search!$E$4="",0,Search!$E$4),$A680&lt;=IF(Search!$E$5="",99999,Search!$E$5),OR(Search!$E$6="",ISNUMBER(SEARCH(Search!$E$6,$C680))),OR(Search!$E$7="All",Search!$E$7="",$D680=Search!$E$7),OR(Search!$E$8="",Search!$E$9="",AND($B680&lt;&gt;"",MOD($B680,1)&gt;=Search!$E$8,MOD($B680,1)&lt;=Search!$E$9))),1,0),0)</f>
        <v>0</v>
      </c>
      <c r="I680" s="79" t="n">
        <f aca="false">IF(H680&gt;N(H679),$E680,0)</f>
        <v>0</v>
      </c>
      <c r="J680" s="79" t="n">
        <f aca="false">IFERROR(IF(AND($A680&lt;&gt;"",$E680&lt;&gt;"",$A680&gt;=PeriodStart,$A680&lt;=PeriodEnd),$E680+ROW()/1000000,0),0)</f>
        <v>0</v>
      </c>
    </row>
    <row r="681" customFormat="false" ht="15" hidden="false" customHeight="false" outlineLevel="0" collapsed="false">
      <c r="A681" s="75"/>
      <c r="B681" s="76"/>
      <c r="C681" s="77"/>
      <c r="D681" s="77"/>
      <c r="E681" s="78"/>
      <c r="F681" s="77"/>
      <c r="G681" s="77"/>
      <c r="H681" s="79" t="n">
        <f aca="false">N(H680)+IFERROR(IF(AND($A681&lt;&gt;"",$E681&lt;&gt;"",$A681&gt;=IF(Search!$E$4="",0,Search!$E$4),$A681&lt;=IF(Search!$E$5="",99999,Search!$E$5),OR(Search!$E$6="",ISNUMBER(SEARCH(Search!$E$6,$C681))),OR(Search!$E$7="All",Search!$E$7="",$D681=Search!$E$7),OR(Search!$E$8="",Search!$E$9="",AND($B681&lt;&gt;"",MOD($B681,1)&gt;=Search!$E$8,MOD($B681,1)&lt;=Search!$E$9))),1,0),0)</f>
        <v>0</v>
      </c>
      <c r="I681" s="79" t="n">
        <f aca="false">IF(H681&gt;N(H680),$E681,0)</f>
        <v>0</v>
      </c>
      <c r="J681" s="79" t="n">
        <f aca="false">IFERROR(IF(AND($A681&lt;&gt;"",$E681&lt;&gt;"",$A681&gt;=PeriodStart,$A681&lt;=PeriodEnd),$E681+ROW()/1000000,0),0)</f>
        <v>0</v>
      </c>
    </row>
    <row r="682" customFormat="false" ht="15" hidden="false" customHeight="false" outlineLevel="0" collapsed="false">
      <c r="A682" s="75"/>
      <c r="B682" s="76"/>
      <c r="C682" s="77"/>
      <c r="D682" s="77"/>
      <c r="E682" s="78"/>
      <c r="F682" s="77"/>
      <c r="G682" s="77"/>
      <c r="H682" s="79" t="n">
        <f aca="false">N(H681)+IFERROR(IF(AND($A682&lt;&gt;"",$E682&lt;&gt;"",$A682&gt;=IF(Search!$E$4="",0,Search!$E$4),$A682&lt;=IF(Search!$E$5="",99999,Search!$E$5),OR(Search!$E$6="",ISNUMBER(SEARCH(Search!$E$6,$C682))),OR(Search!$E$7="All",Search!$E$7="",$D682=Search!$E$7),OR(Search!$E$8="",Search!$E$9="",AND($B682&lt;&gt;"",MOD($B682,1)&gt;=Search!$E$8,MOD($B682,1)&lt;=Search!$E$9))),1,0),0)</f>
        <v>0</v>
      </c>
      <c r="I682" s="79" t="n">
        <f aca="false">IF(H682&gt;N(H681),$E682,0)</f>
        <v>0</v>
      </c>
      <c r="J682" s="79" t="n">
        <f aca="false">IFERROR(IF(AND($A682&lt;&gt;"",$E682&lt;&gt;"",$A682&gt;=PeriodStart,$A682&lt;=PeriodEnd),$E682+ROW()/1000000,0),0)</f>
        <v>0</v>
      </c>
    </row>
    <row r="683" customFormat="false" ht="15" hidden="false" customHeight="false" outlineLevel="0" collapsed="false">
      <c r="A683" s="75"/>
      <c r="B683" s="76"/>
      <c r="C683" s="77"/>
      <c r="D683" s="77"/>
      <c r="E683" s="78"/>
      <c r="F683" s="77"/>
      <c r="G683" s="77"/>
      <c r="H683" s="79" t="n">
        <f aca="false">N(H682)+IFERROR(IF(AND($A683&lt;&gt;"",$E683&lt;&gt;"",$A683&gt;=IF(Search!$E$4="",0,Search!$E$4),$A683&lt;=IF(Search!$E$5="",99999,Search!$E$5),OR(Search!$E$6="",ISNUMBER(SEARCH(Search!$E$6,$C683))),OR(Search!$E$7="All",Search!$E$7="",$D683=Search!$E$7),OR(Search!$E$8="",Search!$E$9="",AND($B683&lt;&gt;"",MOD($B683,1)&gt;=Search!$E$8,MOD($B683,1)&lt;=Search!$E$9))),1,0),0)</f>
        <v>0</v>
      </c>
      <c r="I683" s="79" t="n">
        <f aca="false">IF(H683&gt;N(H682),$E683,0)</f>
        <v>0</v>
      </c>
      <c r="J683" s="79" t="n">
        <f aca="false">IFERROR(IF(AND($A683&lt;&gt;"",$E683&lt;&gt;"",$A683&gt;=PeriodStart,$A683&lt;=PeriodEnd),$E683+ROW()/1000000,0),0)</f>
        <v>0</v>
      </c>
    </row>
    <row r="684" customFormat="false" ht="15" hidden="false" customHeight="false" outlineLevel="0" collapsed="false">
      <c r="A684" s="75"/>
      <c r="B684" s="76"/>
      <c r="C684" s="77"/>
      <c r="D684" s="77"/>
      <c r="E684" s="78"/>
      <c r="F684" s="77"/>
      <c r="G684" s="77"/>
      <c r="H684" s="79" t="n">
        <f aca="false">N(H683)+IFERROR(IF(AND($A684&lt;&gt;"",$E684&lt;&gt;"",$A684&gt;=IF(Search!$E$4="",0,Search!$E$4),$A684&lt;=IF(Search!$E$5="",99999,Search!$E$5),OR(Search!$E$6="",ISNUMBER(SEARCH(Search!$E$6,$C684))),OR(Search!$E$7="All",Search!$E$7="",$D684=Search!$E$7),OR(Search!$E$8="",Search!$E$9="",AND($B684&lt;&gt;"",MOD($B684,1)&gt;=Search!$E$8,MOD($B684,1)&lt;=Search!$E$9))),1,0),0)</f>
        <v>0</v>
      </c>
      <c r="I684" s="79" t="n">
        <f aca="false">IF(H684&gt;N(H683),$E684,0)</f>
        <v>0</v>
      </c>
      <c r="J684" s="79" t="n">
        <f aca="false">IFERROR(IF(AND($A684&lt;&gt;"",$E684&lt;&gt;"",$A684&gt;=PeriodStart,$A684&lt;=PeriodEnd),$E684+ROW()/1000000,0),0)</f>
        <v>0</v>
      </c>
    </row>
    <row r="685" customFormat="false" ht="15" hidden="false" customHeight="false" outlineLevel="0" collapsed="false">
      <c r="A685" s="75"/>
      <c r="B685" s="76"/>
      <c r="C685" s="77"/>
      <c r="D685" s="77"/>
      <c r="E685" s="78"/>
      <c r="F685" s="77"/>
      <c r="G685" s="77"/>
      <c r="H685" s="79" t="n">
        <f aca="false">N(H684)+IFERROR(IF(AND($A685&lt;&gt;"",$E685&lt;&gt;"",$A685&gt;=IF(Search!$E$4="",0,Search!$E$4),$A685&lt;=IF(Search!$E$5="",99999,Search!$E$5),OR(Search!$E$6="",ISNUMBER(SEARCH(Search!$E$6,$C685))),OR(Search!$E$7="All",Search!$E$7="",$D685=Search!$E$7),OR(Search!$E$8="",Search!$E$9="",AND($B685&lt;&gt;"",MOD($B685,1)&gt;=Search!$E$8,MOD($B685,1)&lt;=Search!$E$9))),1,0),0)</f>
        <v>0</v>
      </c>
      <c r="I685" s="79" t="n">
        <f aca="false">IF(H685&gt;N(H684),$E685,0)</f>
        <v>0</v>
      </c>
      <c r="J685" s="79" t="n">
        <f aca="false">IFERROR(IF(AND($A685&lt;&gt;"",$E685&lt;&gt;"",$A685&gt;=PeriodStart,$A685&lt;=PeriodEnd),$E685+ROW()/1000000,0),0)</f>
        <v>0</v>
      </c>
    </row>
    <row r="686" customFormat="false" ht="15" hidden="false" customHeight="false" outlineLevel="0" collapsed="false">
      <c r="A686" s="75"/>
      <c r="B686" s="76"/>
      <c r="C686" s="77"/>
      <c r="D686" s="77"/>
      <c r="E686" s="78"/>
      <c r="F686" s="77"/>
      <c r="G686" s="77"/>
      <c r="H686" s="79" t="n">
        <f aca="false">N(H685)+IFERROR(IF(AND($A686&lt;&gt;"",$E686&lt;&gt;"",$A686&gt;=IF(Search!$E$4="",0,Search!$E$4),$A686&lt;=IF(Search!$E$5="",99999,Search!$E$5),OR(Search!$E$6="",ISNUMBER(SEARCH(Search!$E$6,$C686))),OR(Search!$E$7="All",Search!$E$7="",$D686=Search!$E$7),OR(Search!$E$8="",Search!$E$9="",AND($B686&lt;&gt;"",MOD($B686,1)&gt;=Search!$E$8,MOD($B686,1)&lt;=Search!$E$9))),1,0),0)</f>
        <v>0</v>
      </c>
      <c r="I686" s="79" t="n">
        <f aca="false">IF(H686&gt;N(H685),$E686,0)</f>
        <v>0</v>
      </c>
      <c r="J686" s="79" t="n">
        <f aca="false">IFERROR(IF(AND($A686&lt;&gt;"",$E686&lt;&gt;"",$A686&gt;=PeriodStart,$A686&lt;=PeriodEnd),$E686+ROW()/1000000,0),0)</f>
        <v>0</v>
      </c>
    </row>
    <row r="687" customFormat="false" ht="15" hidden="false" customHeight="false" outlineLevel="0" collapsed="false">
      <c r="A687" s="75"/>
      <c r="B687" s="76"/>
      <c r="C687" s="77"/>
      <c r="D687" s="77"/>
      <c r="E687" s="78"/>
      <c r="F687" s="77"/>
      <c r="G687" s="77"/>
      <c r="H687" s="79" t="n">
        <f aca="false">N(H686)+IFERROR(IF(AND($A687&lt;&gt;"",$E687&lt;&gt;"",$A687&gt;=IF(Search!$E$4="",0,Search!$E$4),$A687&lt;=IF(Search!$E$5="",99999,Search!$E$5),OR(Search!$E$6="",ISNUMBER(SEARCH(Search!$E$6,$C687))),OR(Search!$E$7="All",Search!$E$7="",$D687=Search!$E$7),OR(Search!$E$8="",Search!$E$9="",AND($B687&lt;&gt;"",MOD($B687,1)&gt;=Search!$E$8,MOD($B687,1)&lt;=Search!$E$9))),1,0),0)</f>
        <v>0</v>
      </c>
      <c r="I687" s="79" t="n">
        <f aca="false">IF(H687&gt;N(H686),$E687,0)</f>
        <v>0</v>
      </c>
      <c r="J687" s="79" t="n">
        <f aca="false">IFERROR(IF(AND($A687&lt;&gt;"",$E687&lt;&gt;"",$A687&gt;=PeriodStart,$A687&lt;=PeriodEnd),$E687+ROW()/1000000,0),0)</f>
        <v>0</v>
      </c>
    </row>
    <row r="688" customFormat="false" ht="15" hidden="false" customHeight="false" outlineLevel="0" collapsed="false">
      <c r="A688" s="75"/>
      <c r="B688" s="76"/>
      <c r="C688" s="77"/>
      <c r="D688" s="77"/>
      <c r="E688" s="78"/>
      <c r="F688" s="77"/>
      <c r="G688" s="77"/>
      <c r="H688" s="79" t="n">
        <f aca="false">N(H687)+IFERROR(IF(AND($A688&lt;&gt;"",$E688&lt;&gt;"",$A688&gt;=IF(Search!$E$4="",0,Search!$E$4),$A688&lt;=IF(Search!$E$5="",99999,Search!$E$5),OR(Search!$E$6="",ISNUMBER(SEARCH(Search!$E$6,$C688))),OR(Search!$E$7="All",Search!$E$7="",$D688=Search!$E$7),OR(Search!$E$8="",Search!$E$9="",AND($B688&lt;&gt;"",MOD($B688,1)&gt;=Search!$E$8,MOD($B688,1)&lt;=Search!$E$9))),1,0),0)</f>
        <v>0</v>
      </c>
      <c r="I688" s="79" t="n">
        <f aca="false">IF(H688&gt;N(H687),$E688,0)</f>
        <v>0</v>
      </c>
      <c r="J688" s="79" t="n">
        <f aca="false">IFERROR(IF(AND($A688&lt;&gt;"",$E688&lt;&gt;"",$A688&gt;=PeriodStart,$A688&lt;=PeriodEnd),$E688+ROW()/1000000,0),0)</f>
        <v>0</v>
      </c>
    </row>
    <row r="689" customFormat="false" ht="15" hidden="false" customHeight="false" outlineLevel="0" collapsed="false">
      <c r="A689" s="75"/>
      <c r="B689" s="76"/>
      <c r="C689" s="77"/>
      <c r="D689" s="77"/>
      <c r="E689" s="78"/>
      <c r="F689" s="77"/>
      <c r="G689" s="77"/>
      <c r="H689" s="79" t="n">
        <f aca="false">N(H688)+IFERROR(IF(AND($A689&lt;&gt;"",$E689&lt;&gt;"",$A689&gt;=IF(Search!$E$4="",0,Search!$E$4),$A689&lt;=IF(Search!$E$5="",99999,Search!$E$5),OR(Search!$E$6="",ISNUMBER(SEARCH(Search!$E$6,$C689))),OR(Search!$E$7="All",Search!$E$7="",$D689=Search!$E$7),OR(Search!$E$8="",Search!$E$9="",AND($B689&lt;&gt;"",MOD($B689,1)&gt;=Search!$E$8,MOD($B689,1)&lt;=Search!$E$9))),1,0),0)</f>
        <v>0</v>
      </c>
      <c r="I689" s="79" t="n">
        <f aca="false">IF(H689&gt;N(H688),$E689,0)</f>
        <v>0</v>
      </c>
      <c r="J689" s="79" t="n">
        <f aca="false">IFERROR(IF(AND($A689&lt;&gt;"",$E689&lt;&gt;"",$A689&gt;=PeriodStart,$A689&lt;=PeriodEnd),$E689+ROW()/1000000,0),0)</f>
        <v>0</v>
      </c>
    </row>
    <row r="690" customFormat="false" ht="15" hidden="false" customHeight="false" outlineLevel="0" collapsed="false">
      <c r="A690" s="75"/>
      <c r="B690" s="76"/>
      <c r="C690" s="77"/>
      <c r="D690" s="77"/>
      <c r="E690" s="78"/>
      <c r="F690" s="77"/>
      <c r="G690" s="77"/>
      <c r="H690" s="79" t="n">
        <f aca="false">N(H689)+IFERROR(IF(AND($A690&lt;&gt;"",$E690&lt;&gt;"",$A690&gt;=IF(Search!$E$4="",0,Search!$E$4),$A690&lt;=IF(Search!$E$5="",99999,Search!$E$5),OR(Search!$E$6="",ISNUMBER(SEARCH(Search!$E$6,$C690))),OR(Search!$E$7="All",Search!$E$7="",$D690=Search!$E$7),OR(Search!$E$8="",Search!$E$9="",AND($B690&lt;&gt;"",MOD($B690,1)&gt;=Search!$E$8,MOD($B690,1)&lt;=Search!$E$9))),1,0),0)</f>
        <v>0</v>
      </c>
      <c r="I690" s="79" t="n">
        <f aca="false">IF(H690&gt;N(H689),$E690,0)</f>
        <v>0</v>
      </c>
      <c r="J690" s="79" t="n">
        <f aca="false">IFERROR(IF(AND($A690&lt;&gt;"",$E690&lt;&gt;"",$A690&gt;=PeriodStart,$A690&lt;=PeriodEnd),$E690+ROW()/1000000,0),0)</f>
        <v>0</v>
      </c>
    </row>
    <row r="691" customFormat="false" ht="15" hidden="false" customHeight="false" outlineLevel="0" collapsed="false">
      <c r="A691" s="75"/>
      <c r="B691" s="76"/>
      <c r="C691" s="77"/>
      <c r="D691" s="77"/>
      <c r="E691" s="78"/>
      <c r="F691" s="77"/>
      <c r="G691" s="77"/>
      <c r="H691" s="79" t="n">
        <f aca="false">N(H690)+IFERROR(IF(AND($A691&lt;&gt;"",$E691&lt;&gt;"",$A691&gt;=IF(Search!$E$4="",0,Search!$E$4),$A691&lt;=IF(Search!$E$5="",99999,Search!$E$5),OR(Search!$E$6="",ISNUMBER(SEARCH(Search!$E$6,$C691))),OR(Search!$E$7="All",Search!$E$7="",$D691=Search!$E$7),OR(Search!$E$8="",Search!$E$9="",AND($B691&lt;&gt;"",MOD($B691,1)&gt;=Search!$E$8,MOD($B691,1)&lt;=Search!$E$9))),1,0),0)</f>
        <v>0</v>
      </c>
      <c r="I691" s="79" t="n">
        <f aca="false">IF(H691&gt;N(H690),$E691,0)</f>
        <v>0</v>
      </c>
      <c r="J691" s="79" t="n">
        <f aca="false">IFERROR(IF(AND($A691&lt;&gt;"",$E691&lt;&gt;"",$A691&gt;=PeriodStart,$A691&lt;=PeriodEnd),$E691+ROW()/1000000,0),0)</f>
        <v>0</v>
      </c>
    </row>
    <row r="692" customFormat="false" ht="15" hidden="false" customHeight="false" outlineLevel="0" collapsed="false">
      <c r="A692" s="75"/>
      <c r="B692" s="76"/>
      <c r="C692" s="77"/>
      <c r="D692" s="77"/>
      <c r="E692" s="78"/>
      <c r="F692" s="77"/>
      <c r="G692" s="77"/>
      <c r="H692" s="79" t="n">
        <f aca="false">N(H691)+IFERROR(IF(AND($A692&lt;&gt;"",$E692&lt;&gt;"",$A692&gt;=IF(Search!$E$4="",0,Search!$E$4),$A692&lt;=IF(Search!$E$5="",99999,Search!$E$5),OR(Search!$E$6="",ISNUMBER(SEARCH(Search!$E$6,$C692))),OR(Search!$E$7="All",Search!$E$7="",$D692=Search!$E$7),OR(Search!$E$8="",Search!$E$9="",AND($B692&lt;&gt;"",MOD($B692,1)&gt;=Search!$E$8,MOD($B692,1)&lt;=Search!$E$9))),1,0),0)</f>
        <v>0</v>
      </c>
      <c r="I692" s="79" t="n">
        <f aca="false">IF(H692&gt;N(H691),$E692,0)</f>
        <v>0</v>
      </c>
      <c r="J692" s="79" t="n">
        <f aca="false">IFERROR(IF(AND($A692&lt;&gt;"",$E692&lt;&gt;"",$A692&gt;=PeriodStart,$A692&lt;=PeriodEnd),$E692+ROW()/1000000,0),0)</f>
        <v>0</v>
      </c>
    </row>
    <row r="693" customFormat="false" ht="15" hidden="false" customHeight="false" outlineLevel="0" collapsed="false">
      <c r="A693" s="75"/>
      <c r="B693" s="76"/>
      <c r="C693" s="77"/>
      <c r="D693" s="77"/>
      <c r="E693" s="78"/>
      <c r="F693" s="77"/>
      <c r="G693" s="77"/>
      <c r="H693" s="79" t="n">
        <f aca="false">N(H692)+IFERROR(IF(AND($A693&lt;&gt;"",$E693&lt;&gt;"",$A693&gt;=IF(Search!$E$4="",0,Search!$E$4),$A693&lt;=IF(Search!$E$5="",99999,Search!$E$5),OR(Search!$E$6="",ISNUMBER(SEARCH(Search!$E$6,$C693))),OR(Search!$E$7="All",Search!$E$7="",$D693=Search!$E$7),OR(Search!$E$8="",Search!$E$9="",AND($B693&lt;&gt;"",MOD($B693,1)&gt;=Search!$E$8,MOD($B693,1)&lt;=Search!$E$9))),1,0),0)</f>
        <v>0</v>
      </c>
      <c r="I693" s="79" t="n">
        <f aca="false">IF(H693&gt;N(H692),$E693,0)</f>
        <v>0</v>
      </c>
      <c r="J693" s="79" t="n">
        <f aca="false">IFERROR(IF(AND($A693&lt;&gt;"",$E693&lt;&gt;"",$A693&gt;=PeriodStart,$A693&lt;=PeriodEnd),$E693+ROW()/1000000,0),0)</f>
        <v>0</v>
      </c>
    </row>
    <row r="694" customFormat="false" ht="15" hidden="false" customHeight="false" outlineLevel="0" collapsed="false">
      <c r="A694" s="75"/>
      <c r="B694" s="76"/>
      <c r="C694" s="77"/>
      <c r="D694" s="77"/>
      <c r="E694" s="78"/>
      <c r="F694" s="77"/>
      <c r="G694" s="77"/>
      <c r="H694" s="79" t="n">
        <f aca="false">N(H693)+IFERROR(IF(AND($A694&lt;&gt;"",$E694&lt;&gt;"",$A694&gt;=IF(Search!$E$4="",0,Search!$E$4),$A694&lt;=IF(Search!$E$5="",99999,Search!$E$5),OR(Search!$E$6="",ISNUMBER(SEARCH(Search!$E$6,$C694))),OR(Search!$E$7="All",Search!$E$7="",$D694=Search!$E$7),OR(Search!$E$8="",Search!$E$9="",AND($B694&lt;&gt;"",MOD($B694,1)&gt;=Search!$E$8,MOD($B694,1)&lt;=Search!$E$9))),1,0),0)</f>
        <v>0</v>
      </c>
      <c r="I694" s="79" t="n">
        <f aca="false">IF(H694&gt;N(H693),$E694,0)</f>
        <v>0</v>
      </c>
      <c r="J694" s="79" t="n">
        <f aca="false">IFERROR(IF(AND($A694&lt;&gt;"",$E694&lt;&gt;"",$A694&gt;=PeriodStart,$A694&lt;=PeriodEnd),$E694+ROW()/1000000,0),0)</f>
        <v>0</v>
      </c>
    </row>
    <row r="695" customFormat="false" ht="15" hidden="false" customHeight="false" outlineLevel="0" collapsed="false">
      <c r="A695" s="75"/>
      <c r="B695" s="76"/>
      <c r="C695" s="77"/>
      <c r="D695" s="77"/>
      <c r="E695" s="78"/>
      <c r="F695" s="77"/>
      <c r="G695" s="77"/>
      <c r="H695" s="79" t="n">
        <f aca="false">N(H694)+IFERROR(IF(AND($A695&lt;&gt;"",$E695&lt;&gt;"",$A695&gt;=IF(Search!$E$4="",0,Search!$E$4),$A695&lt;=IF(Search!$E$5="",99999,Search!$E$5),OR(Search!$E$6="",ISNUMBER(SEARCH(Search!$E$6,$C695))),OR(Search!$E$7="All",Search!$E$7="",$D695=Search!$E$7),OR(Search!$E$8="",Search!$E$9="",AND($B695&lt;&gt;"",MOD($B695,1)&gt;=Search!$E$8,MOD($B695,1)&lt;=Search!$E$9))),1,0),0)</f>
        <v>0</v>
      </c>
      <c r="I695" s="79" t="n">
        <f aca="false">IF(H695&gt;N(H694),$E695,0)</f>
        <v>0</v>
      </c>
      <c r="J695" s="79" t="n">
        <f aca="false">IFERROR(IF(AND($A695&lt;&gt;"",$E695&lt;&gt;"",$A695&gt;=PeriodStart,$A695&lt;=PeriodEnd),$E695+ROW()/1000000,0),0)</f>
        <v>0</v>
      </c>
    </row>
    <row r="696" customFormat="false" ht="15" hidden="false" customHeight="false" outlineLevel="0" collapsed="false">
      <c r="A696" s="75"/>
      <c r="B696" s="76"/>
      <c r="C696" s="77"/>
      <c r="D696" s="77"/>
      <c r="E696" s="78"/>
      <c r="F696" s="77"/>
      <c r="G696" s="77"/>
      <c r="H696" s="79" t="n">
        <f aca="false">N(H695)+IFERROR(IF(AND($A696&lt;&gt;"",$E696&lt;&gt;"",$A696&gt;=IF(Search!$E$4="",0,Search!$E$4),$A696&lt;=IF(Search!$E$5="",99999,Search!$E$5),OR(Search!$E$6="",ISNUMBER(SEARCH(Search!$E$6,$C696))),OR(Search!$E$7="All",Search!$E$7="",$D696=Search!$E$7),OR(Search!$E$8="",Search!$E$9="",AND($B696&lt;&gt;"",MOD($B696,1)&gt;=Search!$E$8,MOD($B696,1)&lt;=Search!$E$9))),1,0),0)</f>
        <v>0</v>
      </c>
      <c r="I696" s="79" t="n">
        <f aca="false">IF(H696&gt;N(H695),$E696,0)</f>
        <v>0</v>
      </c>
      <c r="J696" s="79" t="n">
        <f aca="false">IFERROR(IF(AND($A696&lt;&gt;"",$E696&lt;&gt;"",$A696&gt;=PeriodStart,$A696&lt;=PeriodEnd),$E696+ROW()/1000000,0),0)</f>
        <v>0</v>
      </c>
    </row>
    <row r="697" customFormat="false" ht="15" hidden="false" customHeight="false" outlineLevel="0" collapsed="false">
      <c r="A697" s="75"/>
      <c r="B697" s="76"/>
      <c r="C697" s="77"/>
      <c r="D697" s="77"/>
      <c r="E697" s="78"/>
      <c r="F697" s="77"/>
      <c r="G697" s="77"/>
      <c r="H697" s="79" t="n">
        <f aca="false">N(H696)+IFERROR(IF(AND($A697&lt;&gt;"",$E697&lt;&gt;"",$A697&gt;=IF(Search!$E$4="",0,Search!$E$4),$A697&lt;=IF(Search!$E$5="",99999,Search!$E$5),OR(Search!$E$6="",ISNUMBER(SEARCH(Search!$E$6,$C697))),OR(Search!$E$7="All",Search!$E$7="",$D697=Search!$E$7),OR(Search!$E$8="",Search!$E$9="",AND($B697&lt;&gt;"",MOD($B697,1)&gt;=Search!$E$8,MOD($B697,1)&lt;=Search!$E$9))),1,0),0)</f>
        <v>0</v>
      </c>
      <c r="I697" s="79" t="n">
        <f aca="false">IF(H697&gt;N(H696),$E697,0)</f>
        <v>0</v>
      </c>
      <c r="J697" s="79" t="n">
        <f aca="false">IFERROR(IF(AND($A697&lt;&gt;"",$E697&lt;&gt;"",$A697&gt;=PeriodStart,$A697&lt;=PeriodEnd),$E697+ROW()/1000000,0),0)</f>
        <v>0</v>
      </c>
    </row>
    <row r="698" customFormat="false" ht="15" hidden="false" customHeight="false" outlineLevel="0" collapsed="false">
      <c r="A698" s="75"/>
      <c r="B698" s="76"/>
      <c r="C698" s="77"/>
      <c r="D698" s="77"/>
      <c r="E698" s="78"/>
      <c r="F698" s="77"/>
      <c r="G698" s="77"/>
      <c r="H698" s="79" t="n">
        <f aca="false">N(H697)+IFERROR(IF(AND($A698&lt;&gt;"",$E698&lt;&gt;"",$A698&gt;=IF(Search!$E$4="",0,Search!$E$4),$A698&lt;=IF(Search!$E$5="",99999,Search!$E$5),OR(Search!$E$6="",ISNUMBER(SEARCH(Search!$E$6,$C698))),OR(Search!$E$7="All",Search!$E$7="",$D698=Search!$E$7),OR(Search!$E$8="",Search!$E$9="",AND($B698&lt;&gt;"",MOD($B698,1)&gt;=Search!$E$8,MOD($B698,1)&lt;=Search!$E$9))),1,0),0)</f>
        <v>0</v>
      </c>
      <c r="I698" s="79" t="n">
        <f aca="false">IF(H698&gt;N(H697),$E698,0)</f>
        <v>0</v>
      </c>
      <c r="J698" s="79" t="n">
        <f aca="false">IFERROR(IF(AND($A698&lt;&gt;"",$E698&lt;&gt;"",$A698&gt;=PeriodStart,$A698&lt;=PeriodEnd),$E698+ROW()/1000000,0),0)</f>
        <v>0</v>
      </c>
    </row>
    <row r="699" customFormat="false" ht="15" hidden="false" customHeight="false" outlineLevel="0" collapsed="false">
      <c r="A699" s="75"/>
      <c r="B699" s="76"/>
      <c r="C699" s="77"/>
      <c r="D699" s="77"/>
      <c r="E699" s="78"/>
      <c r="F699" s="77"/>
      <c r="G699" s="77"/>
      <c r="H699" s="79" t="n">
        <f aca="false">N(H698)+IFERROR(IF(AND($A699&lt;&gt;"",$E699&lt;&gt;"",$A699&gt;=IF(Search!$E$4="",0,Search!$E$4),$A699&lt;=IF(Search!$E$5="",99999,Search!$E$5),OR(Search!$E$6="",ISNUMBER(SEARCH(Search!$E$6,$C699))),OR(Search!$E$7="All",Search!$E$7="",$D699=Search!$E$7),OR(Search!$E$8="",Search!$E$9="",AND($B699&lt;&gt;"",MOD($B699,1)&gt;=Search!$E$8,MOD($B699,1)&lt;=Search!$E$9))),1,0),0)</f>
        <v>0</v>
      </c>
      <c r="I699" s="79" t="n">
        <f aca="false">IF(H699&gt;N(H698),$E699,0)</f>
        <v>0</v>
      </c>
      <c r="J699" s="79" t="n">
        <f aca="false">IFERROR(IF(AND($A699&lt;&gt;"",$E699&lt;&gt;"",$A699&gt;=PeriodStart,$A699&lt;=PeriodEnd),$E699+ROW()/1000000,0),0)</f>
        <v>0</v>
      </c>
    </row>
    <row r="700" customFormat="false" ht="15" hidden="false" customHeight="false" outlineLevel="0" collapsed="false">
      <c r="A700" s="75"/>
      <c r="B700" s="76"/>
      <c r="C700" s="77"/>
      <c r="D700" s="77"/>
      <c r="E700" s="78"/>
      <c r="F700" s="77"/>
      <c r="G700" s="77"/>
      <c r="H700" s="79" t="n">
        <f aca="false">N(H699)+IFERROR(IF(AND($A700&lt;&gt;"",$E700&lt;&gt;"",$A700&gt;=IF(Search!$E$4="",0,Search!$E$4),$A700&lt;=IF(Search!$E$5="",99999,Search!$E$5),OR(Search!$E$6="",ISNUMBER(SEARCH(Search!$E$6,$C700))),OR(Search!$E$7="All",Search!$E$7="",$D700=Search!$E$7),OR(Search!$E$8="",Search!$E$9="",AND($B700&lt;&gt;"",MOD($B700,1)&gt;=Search!$E$8,MOD($B700,1)&lt;=Search!$E$9))),1,0),0)</f>
        <v>0</v>
      </c>
      <c r="I700" s="79" t="n">
        <f aca="false">IF(H700&gt;N(H699),$E700,0)</f>
        <v>0</v>
      </c>
      <c r="J700" s="79" t="n">
        <f aca="false">IFERROR(IF(AND($A700&lt;&gt;"",$E700&lt;&gt;"",$A700&gt;=PeriodStart,$A700&lt;=PeriodEnd),$E700+ROW()/1000000,0),0)</f>
        <v>0</v>
      </c>
    </row>
    <row r="701" customFormat="false" ht="15" hidden="false" customHeight="false" outlineLevel="0" collapsed="false">
      <c r="A701" s="75"/>
      <c r="B701" s="76"/>
      <c r="C701" s="77"/>
      <c r="D701" s="77"/>
      <c r="E701" s="78"/>
      <c r="F701" s="77"/>
      <c r="G701" s="77"/>
      <c r="H701" s="79" t="n">
        <f aca="false">N(H700)+IFERROR(IF(AND($A701&lt;&gt;"",$E701&lt;&gt;"",$A701&gt;=IF(Search!$E$4="",0,Search!$E$4),$A701&lt;=IF(Search!$E$5="",99999,Search!$E$5),OR(Search!$E$6="",ISNUMBER(SEARCH(Search!$E$6,$C701))),OR(Search!$E$7="All",Search!$E$7="",$D701=Search!$E$7),OR(Search!$E$8="",Search!$E$9="",AND($B701&lt;&gt;"",MOD($B701,1)&gt;=Search!$E$8,MOD($B701,1)&lt;=Search!$E$9))),1,0),0)</f>
        <v>0</v>
      </c>
      <c r="I701" s="79" t="n">
        <f aca="false">IF(H701&gt;N(H700),$E701,0)</f>
        <v>0</v>
      </c>
      <c r="J701" s="79" t="n">
        <f aca="false">IFERROR(IF(AND($A701&lt;&gt;"",$E701&lt;&gt;"",$A701&gt;=PeriodStart,$A701&lt;=PeriodEnd),$E701+ROW()/1000000,0),0)</f>
        <v>0</v>
      </c>
    </row>
    <row r="702" customFormat="false" ht="15" hidden="false" customHeight="false" outlineLevel="0" collapsed="false">
      <c r="A702" s="75"/>
      <c r="B702" s="76"/>
      <c r="C702" s="77"/>
      <c r="D702" s="77"/>
      <c r="E702" s="78"/>
      <c r="F702" s="77"/>
      <c r="G702" s="77"/>
      <c r="H702" s="79" t="n">
        <f aca="false">N(H701)+IFERROR(IF(AND($A702&lt;&gt;"",$E702&lt;&gt;"",$A702&gt;=IF(Search!$E$4="",0,Search!$E$4),$A702&lt;=IF(Search!$E$5="",99999,Search!$E$5),OR(Search!$E$6="",ISNUMBER(SEARCH(Search!$E$6,$C702))),OR(Search!$E$7="All",Search!$E$7="",$D702=Search!$E$7),OR(Search!$E$8="",Search!$E$9="",AND($B702&lt;&gt;"",MOD($B702,1)&gt;=Search!$E$8,MOD($B702,1)&lt;=Search!$E$9))),1,0),0)</f>
        <v>0</v>
      </c>
      <c r="I702" s="79" t="n">
        <f aca="false">IF(H702&gt;N(H701),$E702,0)</f>
        <v>0</v>
      </c>
      <c r="J702" s="79" t="n">
        <f aca="false">IFERROR(IF(AND($A702&lt;&gt;"",$E702&lt;&gt;"",$A702&gt;=PeriodStart,$A702&lt;=PeriodEnd),$E702+ROW()/1000000,0),0)</f>
        <v>0</v>
      </c>
    </row>
    <row r="703" customFormat="false" ht="15" hidden="false" customHeight="false" outlineLevel="0" collapsed="false">
      <c r="A703" s="75"/>
      <c r="B703" s="76"/>
      <c r="C703" s="77"/>
      <c r="D703" s="77"/>
      <c r="E703" s="78"/>
      <c r="F703" s="77"/>
      <c r="G703" s="77"/>
      <c r="H703" s="79" t="n">
        <f aca="false">N(H702)+IFERROR(IF(AND($A703&lt;&gt;"",$E703&lt;&gt;"",$A703&gt;=IF(Search!$E$4="",0,Search!$E$4),$A703&lt;=IF(Search!$E$5="",99999,Search!$E$5),OR(Search!$E$6="",ISNUMBER(SEARCH(Search!$E$6,$C703))),OR(Search!$E$7="All",Search!$E$7="",$D703=Search!$E$7),OR(Search!$E$8="",Search!$E$9="",AND($B703&lt;&gt;"",MOD($B703,1)&gt;=Search!$E$8,MOD($B703,1)&lt;=Search!$E$9))),1,0),0)</f>
        <v>0</v>
      </c>
      <c r="I703" s="79" t="n">
        <f aca="false">IF(H703&gt;N(H702),$E703,0)</f>
        <v>0</v>
      </c>
      <c r="J703" s="79" t="n">
        <f aca="false">IFERROR(IF(AND($A703&lt;&gt;"",$E703&lt;&gt;"",$A703&gt;=PeriodStart,$A703&lt;=PeriodEnd),$E703+ROW()/1000000,0),0)</f>
        <v>0</v>
      </c>
    </row>
    <row r="704" customFormat="false" ht="15" hidden="false" customHeight="false" outlineLevel="0" collapsed="false">
      <c r="A704" s="75"/>
      <c r="B704" s="76"/>
      <c r="C704" s="77"/>
      <c r="D704" s="77"/>
      <c r="E704" s="78"/>
      <c r="F704" s="77"/>
      <c r="G704" s="77"/>
      <c r="H704" s="79" t="n">
        <f aca="false">N(H703)+IFERROR(IF(AND($A704&lt;&gt;"",$E704&lt;&gt;"",$A704&gt;=IF(Search!$E$4="",0,Search!$E$4),$A704&lt;=IF(Search!$E$5="",99999,Search!$E$5),OR(Search!$E$6="",ISNUMBER(SEARCH(Search!$E$6,$C704))),OR(Search!$E$7="All",Search!$E$7="",$D704=Search!$E$7),OR(Search!$E$8="",Search!$E$9="",AND($B704&lt;&gt;"",MOD($B704,1)&gt;=Search!$E$8,MOD($B704,1)&lt;=Search!$E$9))),1,0),0)</f>
        <v>0</v>
      </c>
      <c r="I704" s="79" t="n">
        <f aca="false">IF(H704&gt;N(H703),$E704,0)</f>
        <v>0</v>
      </c>
      <c r="J704" s="79" t="n">
        <f aca="false">IFERROR(IF(AND($A704&lt;&gt;"",$E704&lt;&gt;"",$A704&gt;=PeriodStart,$A704&lt;=PeriodEnd),$E704+ROW()/1000000,0),0)</f>
        <v>0</v>
      </c>
    </row>
    <row r="705" customFormat="false" ht="15" hidden="false" customHeight="false" outlineLevel="0" collapsed="false">
      <c r="A705" s="75"/>
      <c r="B705" s="76"/>
      <c r="C705" s="77"/>
      <c r="D705" s="77"/>
      <c r="E705" s="78"/>
      <c r="F705" s="77"/>
      <c r="G705" s="77"/>
      <c r="H705" s="79" t="n">
        <f aca="false">N(H704)+IFERROR(IF(AND($A705&lt;&gt;"",$E705&lt;&gt;"",$A705&gt;=IF(Search!$E$4="",0,Search!$E$4),$A705&lt;=IF(Search!$E$5="",99999,Search!$E$5),OR(Search!$E$6="",ISNUMBER(SEARCH(Search!$E$6,$C705))),OR(Search!$E$7="All",Search!$E$7="",$D705=Search!$E$7),OR(Search!$E$8="",Search!$E$9="",AND($B705&lt;&gt;"",MOD($B705,1)&gt;=Search!$E$8,MOD($B705,1)&lt;=Search!$E$9))),1,0),0)</f>
        <v>0</v>
      </c>
      <c r="I705" s="79" t="n">
        <f aca="false">IF(H705&gt;N(H704),$E705,0)</f>
        <v>0</v>
      </c>
      <c r="J705" s="79" t="n">
        <f aca="false">IFERROR(IF(AND($A705&lt;&gt;"",$E705&lt;&gt;"",$A705&gt;=PeriodStart,$A705&lt;=PeriodEnd),$E705+ROW()/1000000,0),0)</f>
        <v>0</v>
      </c>
    </row>
    <row r="706" customFormat="false" ht="15" hidden="false" customHeight="false" outlineLevel="0" collapsed="false">
      <c r="A706" s="75"/>
      <c r="B706" s="76"/>
      <c r="C706" s="77"/>
      <c r="D706" s="77"/>
      <c r="E706" s="78"/>
      <c r="F706" s="77"/>
      <c r="G706" s="77"/>
      <c r="H706" s="79" t="n">
        <f aca="false">N(H705)+IFERROR(IF(AND($A706&lt;&gt;"",$E706&lt;&gt;"",$A706&gt;=IF(Search!$E$4="",0,Search!$E$4),$A706&lt;=IF(Search!$E$5="",99999,Search!$E$5),OR(Search!$E$6="",ISNUMBER(SEARCH(Search!$E$6,$C706))),OR(Search!$E$7="All",Search!$E$7="",$D706=Search!$E$7),OR(Search!$E$8="",Search!$E$9="",AND($B706&lt;&gt;"",MOD($B706,1)&gt;=Search!$E$8,MOD($B706,1)&lt;=Search!$E$9))),1,0),0)</f>
        <v>0</v>
      </c>
      <c r="I706" s="79" t="n">
        <f aca="false">IF(H706&gt;N(H705),$E706,0)</f>
        <v>0</v>
      </c>
      <c r="J706" s="79" t="n">
        <f aca="false">IFERROR(IF(AND($A706&lt;&gt;"",$E706&lt;&gt;"",$A706&gt;=PeriodStart,$A706&lt;=PeriodEnd),$E706+ROW()/1000000,0),0)</f>
        <v>0</v>
      </c>
    </row>
    <row r="707" customFormat="false" ht="15" hidden="false" customHeight="false" outlineLevel="0" collapsed="false">
      <c r="A707" s="75"/>
      <c r="B707" s="76"/>
      <c r="C707" s="77"/>
      <c r="D707" s="77"/>
      <c r="E707" s="78"/>
      <c r="F707" s="77"/>
      <c r="G707" s="77"/>
      <c r="H707" s="79" t="n">
        <f aca="false">N(H706)+IFERROR(IF(AND($A707&lt;&gt;"",$E707&lt;&gt;"",$A707&gt;=IF(Search!$E$4="",0,Search!$E$4),$A707&lt;=IF(Search!$E$5="",99999,Search!$E$5),OR(Search!$E$6="",ISNUMBER(SEARCH(Search!$E$6,$C707))),OR(Search!$E$7="All",Search!$E$7="",$D707=Search!$E$7),OR(Search!$E$8="",Search!$E$9="",AND($B707&lt;&gt;"",MOD($B707,1)&gt;=Search!$E$8,MOD($B707,1)&lt;=Search!$E$9))),1,0),0)</f>
        <v>0</v>
      </c>
      <c r="I707" s="79" t="n">
        <f aca="false">IF(H707&gt;N(H706),$E707,0)</f>
        <v>0</v>
      </c>
      <c r="J707" s="79" t="n">
        <f aca="false">IFERROR(IF(AND($A707&lt;&gt;"",$E707&lt;&gt;"",$A707&gt;=PeriodStart,$A707&lt;=PeriodEnd),$E707+ROW()/1000000,0),0)</f>
        <v>0</v>
      </c>
    </row>
    <row r="708" customFormat="false" ht="15" hidden="false" customHeight="false" outlineLevel="0" collapsed="false">
      <c r="A708" s="75"/>
      <c r="B708" s="76"/>
      <c r="C708" s="77"/>
      <c r="D708" s="77"/>
      <c r="E708" s="78"/>
      <c r="F708" s="77"/>
      <c r="G708" s="77"/>
      <c r="H708" s="79" t="n">
        <f aca="false">N(H707)+IFERROR(IF(AND($A708&lt;&gt;"",$E708&lt;&gt;"",$A708&gt;=IF(Search!$E$4="",0,Search!$E$4),$A708&lt;=IF(Search!$E$5="",99999,Search!$E$5),OR(Search!$E$6="",ISNUMBER(SEARCH(Search!$E$6,$C708))),OR(Search!$E$7="All",Search!$E$7="",$D708=Search!$E$7),OR(Search!$E$8="",Search!$E$9="",AND($B708&lt;&gt;"",MOD($B708,1)&gt;=Search!$E$8,MOD($B708,1)&lt;=Search!$E$9))),1,0),0)</f>
        <v>0</v>
      </c>
      <c r="I708" s="79" t="n">
        <f aca="false">IF(H708&gt;N(H707),$E708,0)</f>
        <v>0</v>
      </c>
      <c r="J708" s="79" t="n">
        <f aca="false">IFERROR(IF(AND($A708&lt;&gt;"",$E708&lt;&gt;"",$A708&gt;=PeriodStart,$A708&lt;=PeriodEnd),$E708+ROW()/1000000,0),0)</f>
        <v>0</v>
      </c>
    </row>
    <row r="709" customFormat="false" ht="15" hidden="false" customHeight="false" outlineLevel="0" collapsed="false">
      <c r="A709" s="75"/>
      <c r="B709" s="76"/>
      <c r="C709" s="77"/>
      <c r="D709" s="77"/>
      <c r="E709" s="78"/>
      <c r="F709" s="77"/>
      <c r="G709" s="77"/>
      <c r="H709" s="79" t="n">
        <f aca="false">N(H708)+IFERROR(IF(AND($A709&lt;&gt;"",$E709&lt;&gt;"",$A709&gt;=IF(Search!$E$4="",0,Search!$E$4),$A709&lt;=IF(Search!$E$5="",99999,Search!$E$5),OR(Search!$E$6="",ISNUMBER(SEARCH(Search!$E$6,$C709))),OR(Search!$E$7="All",Search!$E$7="",$D709=Search!$E$7),OR(Search!$E$8="",Search!$E$9="",AND($B709&lt;&gt;"",MOD($B709,1)&gt;=Search!$E$8,MOD($B709,1)&lt;=Search!$E$9))),1,0),0)</f>
        <v>0</v>
      </c>
      <c r="I709" s="79" t="n">
        <f aca="false">IF(H709&gt;N(H708),$E709,0)</f>
        <v>0</v>
      </c>
      <c r="J709" s="79" t="n">
        <f aca="false">IFERROR(IF(AND($A709&lt;&gt;"",$E709&lt;&gt;"",$A709&gt;=PeriodStart,$A709&lt;=PeriodEnd),$E709+ROW()/1000000,0),0)</f>
        <v>0</v>
      </c>
    </row>
    <row r="710" customFormat="false" ht="15" hidden="false" customHeight="false" outlineLevel="0" collapsed="false">
      <c r="A710" s="75"/>
      <c r="B710" s="76"/>
      <c r="C710" s="77"/>
      <c r="D710" s="77"/>
      <c r="E710" s="78"/>
      <c r="F710" s="77"/>
      <c r="G710" s="77"/>
      <c r="H710" s="79" t="n">
        <f aca="false">N(H709)+IFERROR(IF(AND($A710&lt;&gt;"",$E710&lt;&gt;"",$A710&gt;=IF(Search!$E$4="",0,Search!$E$4),$A710&lt;=IF(Search!$E$5="",99999,Search!$E$5),OR(Search!$E$6="",ISNUMBER(SEARCH(Search!$E$6,$C710))),OR(Search!$E$7="All",Search!$E$7="",$D710=Search!$E$7),OR(Search!$E$8="",Search!$E$9="",AND($B710&lt;&gt;"",MOD($B710,1)&gt;=Search!$E$8,MOD($B710,1)&lt;=Search!$E$9))),1,0),0)</f>
        <v>0</v>
      </c>
      <c r="I710" s="79" t="n">
        <f aca="false">IF(H710&gt;N(H709),$E710,0)</f>
        <v>0</v>
      </c>
      <c r="J710" s="79" t="n">
        <f aca="false">IFERROR(IF(AND($A710&lt;&gt;"",$E710&lt;&gt;"",$A710&gt;=PeriodStart,$A710&lt;=PeriodEnd),$E710+ROW()/1000000,0),0)</f>
        <v>0</v>
      </c>
    </row>
    <row r="711" customFormat="false" ht="15" hidden="false" customHeight="false" outlineLevel="0" collapsed="false">
      <c r="A711" s="75"/>
      <c r="B711" s="76"/>
      <c r="C711" s="77"/>
      <c r="D711" s="77"/>
      <c r="E711" s="78"/>
      <c r="F711" s="77"/>
      <c r="G711" s="77"/>
      <c r="H711" s="79" t="n">
        <f aca="false">N(H710)+IFERROR(IF(AND($A711&lt;&gt;"",$E711&lt;&gt;"",$A711&gt;=IF(Search!$E$4="",0,Search!$E$4),$A711&lt;=IF(Search!$E$5="",99999,Search!$E$5),OR(Search!$E$6="",ISNUMBER(SEARCH(Search!$E$6,$C711))),OR(Search!$E$7="All",Search!$E$7="",$D711=Search!$E$7),OR(Search!$E$8="",Search!$E$9="",AND($B711&lt;&gt;"",MOD($B711,1)&gt;=Search!$E$8,MOD($B711,1)&lt;=Search!$E$9))),1,0),0)</f>
        <v>0</v>
      </c>
      <c r="I711" s="79" t="n">
        <f aca="false">IF(H711&gt;N(H710),$E711,0)</f>
        <v>0</v>
      </c>
      <c r="J711" s="79" t="n">
        <f aca="false">IFERROR(IF(AND($A711&lt;&gt;"",$E711&lt;&gt;"",$A711&gt;=PeriodStart,$A711&lt;=PeriodEnd),$E711+ROW()/1000000,0),0)</f>
        <v>0</v>
      </c>
    </row>
    <row r="712" customFormat="false" ht="15" hidden="false" customHeight="false" outlineLevel="0" collapsed="false">
      <c r="A712" s="75"/>
      <c r="B712" s="76"/>
      <c r="C712" s="77"/>
      <c r="D712" s="77"/>
      <c r="E712" s="78"/>
      <c r="F712" s="77"/>
      <c r="G712" s="77"/>
      <c r="H712" s="79" t="n">
        <f aca="false">N(H711)+IFERROR(IF(AND($A712&lt;&gt;"",$E712&lt;&gt;"",$A712&gt;=IF(Search!$E$4="",0,Search!$E$4),$A712&lt;=IF(Search!$E$5="",99999,Search!$E$5),OR(Search!$E$6="",ISNUMBER(SEARCH(Search!$E$6,$C712))),OR(Search!$E$7="All",Search!$E$7="",$D712=Search!$E$7),OR(Search!$E$8="",Search!$E$9="",AND($B712&lt;&gt;"",MOD($B712,1)&gt;=Search!$E$8,MOD($B712,1)&lt;=Search!$E$9))),1,0),0)</f>
        <v>0</v>
      </c>
      <c r="I712" s="79" t="n">
        <f aca="false">IF(H712&gt;N(H711),$E712,0)</f>
        <v>0</v>
      </c>
      <c r="J712" s="79" t="n">
        <f aca="false">IFERROR(IF(AND($A712&lt;&gt;"",$E712&lt;&gt;"",$A712&gt;=PeriodStart,$A712&lt;=PeriodEnd),$E712+ROW()/1000000,0),0)</f>
        <v>0</v>
      </c>
    </row>
    <row r="713" customFormat="false" ht="15" hidden="false" customHeight="false" outlineLevel="0" collapsed="false">
      <c r="A713" s="75"/>
      <c r="B713" s="76"/>
      <c r="C713" s="77"/>
      <c r="D713" s="77"/>
      <c r="E713" s="78"/>
      <c r="F713" s="77"/>
      <c r="G713" s="77"/>
      <c r="H713" s="79" t="n">
        <f aca="false">N(H712)+IFERROR(IF(AND($A713&lt;&gt;"",$E713&lt;&gt;"",$A713&gt;=IF(Search!$E$4="",0,Search!$E$4),$A713&lt;=IF(Search!$E$5="",99999,Search!$E$5),OR(Search!$E$6="",ISNUMBER(SEARCH(Search!$E$6,$C713))),OR(Search!$E$7="All",Search!$E$7="",$D713=Search!$E$7),OR(Search!$E$8="",Search!$E$9="",AND($B713&lt;&gt;"",MOD($B713,1)&gt;=Search!$E$8,MOD($B713,1)&lt;=Search!$E$9))),1,0),0)</f>
        <v>0</v>
      </c>
      <c r="I713" s="79" t="n">
        <f aca="false">IF(H713&gt;N(H712),$E713,0)</f>
        <v>0</v>
      </c>
      <c r="J713" s="79" t="n">
        <f aca="false">IFERROR(IF(AND($A713&lt;&gt;"",$E713&lt;&gt;"",$A713&gt;=PeriodStart,$A713&lt;=PeriodEnd),$E713+ROW()/1000000,0),0)</f>
        <v>0</v>
      </c>
    </row>
    <row r="714" customFormat="false" ht="15" hidden="false" customHeight="false" outlineLevel="0" collapsed="false">
      <c r="A714" s="75"/>
      <c r="B714" s="76"/>
      <c r="C714" s="77"/>
      <c r="D714" s="77"/>
      <c r="E714" s="78"/>
      <c r="F714" s="77"/>
      <c r="G714" s="77"/>
      <c r="H714" s="79" t="n">
        <f aca="false">N(H713)+IFERROR(IF(AND($A714&lt;&gt;"",$E714&lt;&gt;"",$A714&gt;=IF(Search!$E$4="",0,Search!$E$4),$A714&lt;=IF(Search!$E$5="",99999,Search!$E$5),OR(Search!$E$6="",ISNUMBER(SEARCH(Search!$E$6,$C714))),OR(Search!$E$7="All",Search!$E$7="",$D714=Search!$E$7),OR(Search!$E$8="",Search!$E$9="",AND($B714&lt;&gt;"",MOD($B714,1)&gt;=Search!$E$8,MOD($B714,1)&lt;=Search!$E$9))),1,0),0)</f>
        <v>0</v>
      </c>
      <c r="I714" s="79" t="n">
        <f aca="false">IF(H714&gt;N(H713),$E714,0)</f>
        <v>0</v>
      </c>
      <c r="J714" s="79" t="n">
        <f aca="false">IFERROR(IF(AND($A714&lt;&gt;"",$E714&lt;&gt;"",$A714&gt;=PeriodStart,$A714&lt;=PeriodEnd),$E714+ROW()/1000000,0),0)</f>
        <v>0</v>
      </c>
    </row>
    <row r="715" customFormat="false" ht="15" hidden="false" customHeight="false" outlineLevel="0" collapsed="false">
      <c r="A715" s="75"/>
      <c r="B715" s="76"/>
      <c r="C715" s="77"/>
      <c r="D715" s="77"/>
      <c r="E715" s="78"/>
      <c r="F715" s="77"/>
      <c r="G715" s="77"/>
      <c r="H715" s="79" t="n">
        <f aca="false">N(H714)+IFERROR(IF(AND($A715&lt;&gt;"",$E715&lt;&gt;"",$A715&gt;=IF(Search!$E$4="",0,Search!$E$4),$A715&lt;=IF(Search!$E$5="",99999,Search!$E$5),OR(Search!$E$6="",ISNUMBER(SEARCH(Search!$E$6,$C715))),OR(Search!$E$7="All",Search!$E$7="",$D715=Search!$E$7),OR(Search!$E$8="",Search!$E$9="",AND($B715&lt;&gt;"",MOD($B715,1)&gt;=Search!$E$8,MOD($B715,1)&lt;=Search!$E$9))),1,0),0)</f>
        <v>0</v>
      </c>
      <c r="I715" s="79" t="n">
        <f aca="false">IF(H715&gt;N(H714),$E715,0)</f>
        <v>0</v>
      </c>
      <c r="J715" s="79" t="n">
        <f aca="false">IFERROR(IF(AND($A715&lt;&gt;"",$E715&lt;&gt;"",$A715&gt;=PeriodStart,$A715&lt;=PeriodEnd),$E715+ROW()/1000000,0),0)</f>
        <v>0</v>
      </c>
    </row>
    <row r="716" customFormat="false" ht="15" hidden="false" customHeight="false" outlineLevel="0" collapsed="false">
      <c r="A716" s="75"/>
      <c r="B716" s="76"/>
      <c r="C716" s="77"/>
      <c r="D716" s="77"/>
      <c r="E716" s="78"/>
      <c r="F716" s="77"/>
      <c r="G716" s="77"/>
      <c r="H716" s="79" t="n">
        <f aca="false">N(H715)+IFERROR(IF(AND($A716&lt;&gt;"",$E716&lt;&gt;"",$A716&gt;=IF(Search!$E$4="",0,Search!$E$4),$A716&lt;=IF(Search!$E$5="",99999,Search!$E$5),OR(Search!$E$6="",ISNUMBER(SEARCH(Search!$E$6,$C716))),OR(Search!$E$7="All",Search!$E$7="",$D716=Search!$E$7),OR(Search!$E$8="",Search!$E$9="",AND($B716&lt;&gt;"",MOD($B716,1)&gt;=Search!$E$8,MOD($B716,1)&lt;=Search!$E$9))),1,0),0)</f>
        <v>0</v>
      </c>
      <c r="I716" s="79" t="n">
        <f aca="false">IF(H716&gt;N(H715),$E716,0)</f>
        <v>0</v>
      </c>
      <c r="J716" s="79" t="n">
        <f aca="false">IFERROR(IF(AND($A716&lt;&gt;"",$E716&lt;&gt;"",$A716&gt;=PeriodStart,$A716&lt;=PeriodEnd),$E716+ROW()/1000000,0),0)</f>
        <v>0</v>
      </c>
    </row>
    <row r="717" customFormat="false" ht="15" hidden="false" customHeight="false" outlineLevel="0" collapsed="false">
      <c r="A717" s="75"/>
      <c r="B717" s="76"/>
      <c r="C717" s="77"/>
      <c r="D717" s="77"/>
      <c r="E717" s="78"/>
      <c r="F717" s="77"/>
      <c r="G717" s="77"/>
      <c r="H717" s="79" t="n">
        <f aca="false">N(H716)+IFERROR(IF(AND($A717&lt;&gt;"",$E717&lt;&gt;"",$A717&gt;=IF(Search!$E$4="",0,Search!$E$4),$A717&lt;=IF(Search!$E$5="",99999,Search!$E$5),OR(Search!$E$6="",ISNUMBER(SEARCH(Search!$E$6,$C717))),OR(Search!$E$7="All",Search!$E$7="",$D717=Search!$E$7),OR(Search!$E$8="",Search!$E$9="",AND($B717&lt;&gt;"",MOD($B717,1)&gt;=Search!$E$8,MOD($B717,1)&lt;=Search!$E$9))),1,0),0)</f>
        <v>0</v>
      </c>
      <c r="I717" s="79" t="n">
        <f aca="false">IF(H717&gt;N(H716),$E717,0)</f>
        <v>0</v>
      </c>
      <c r="J717" s="79" t="n">
        <f aca="false">IFERROR(IF(AND($A717&lt;&gt;"",$E717&lt;&gt;"",$A717&gt;=PeriodStart,$A717&lt;=PeriodEnd),$E717+ROW()/1000000,0),0)</f>
        <v>0</v>
      </c>
    </row>
    <row r="718" customFormat="false" ht="15" hidden="false" customHeight="false" outlineLevel="0" collapsed="false">
      <c r="A718" s="75"/>
      <c r="B718" s="76"/>
      <c r="C718" s="77"/>
      <c r="D718" s="77"/>
      <c r="E718" s="78"/>
      <c r="F718" s="77"/>
      <c r="G718" s="77"/>
      <c r="H718" s="79" t="n">
        <f aca="false">N(H717)+IFERROR(IF(AND($A718&lt;&gt;"",$E718&lt;&gt;"",$A718&gt;=IF(Search!$E$4="",0,Search!$E$4),$A718&lt;=IF(Search!$E$5="",99999,Search!$E$5),OR(Search!$E$6="",ISNUMBER(SEARCH(Search!$E$6,$C718))),OR(Search!$E$7="All",Search!$E$7="",$D718=Search!$E$7),OR(Search!$E$8="",Search!$E$9="",AND($B718&lt;&gt;"",MOD($B718,1)&gt;=Search!$E$8,MOD($B718,1)&lt;=Search!$E$9))),1,0),0)</f>
        <v>0</v>
      </c>
      <c r="I718" s="79" t="n">
        <f aca="false">IF(H718&gt;N(H717),$E718,0)</f>
        <v>0</v>
      </c>
      <c r="J718" s="79" t="n">
        <f aca="false">IFERROR(IF(AND($A718&lt;&gt;"",$E718&lt;&gt;"",$A718&gt;=PeriodStart,$A718&lt;=PeriodEnd),$E718+ROW()/1000000,0),0)</f>
        <v>0</v>
      </c>
    </row>
    <row r="719" customFormat="false" ht="15" hidden="false" customHeight="false" outlineLevel="0" collapsed="false">
      <c r="A719" s="75"/>
      <c r="B719" s="76"/>
      <c r="C719" s="77"/>
      <c r="D719" s="77"/>
      <c r="E719" s="78"/>
      <c r="F719" s="77"/>
      <c r="G719" s="77"/>
      <c r="H719" s="79" t="n">
        <f aca="false">N(H718)+IFERROR(IF(AND($A719&lt;&gt;"",$E719&lt;&gt;"",$A719&gt;=IF(Search!$E$4="",0,Search!$E$4),$A719&lt;=IF(Search!$E$5="",99999,Search!$E$5),OR(Search!$E$6="",ISNUMBER(SEARCH(Search!$E$6,$C719))),OR(Search!$E$7="All",Search!$E$7="",$D719=Search!$E$7),OR(Search!$E$8="",Search!$E$9="",AND($B719&lt;&gt;"",MOD($B719,1)&gt;=Search!$E$8,MOD($B719,1)&lt;=Search!$E$9))),1,0),0)</f>
        <v>0</v>
      </c>
      <c r="I719" s="79" t="n">
        <f aca="false">IF(H719&gt;N(H718),$E719,0)</f>
        <v>0</v>
      </c>
      <c r="J719" s="79" t="n">
        <f aca="false">IFERROR(IF(AND($A719&lt;&gt;"",$E719&lt;&gt;"",$A719&gt;=PeriodStart,$A719&lt;=PeriodEnd),$E719+ROW()/1000000,0),0)</f>
        <v>0</v>
      </c>
    </row>
    <row r="720" customFormat="false" ht="15" hidden="false" customHeight="false" outlineLevel="0" collapsed="false">
      <c r="A720" s="75"/>
      <c r="B720" s="76"/>
      <c r="C720" s="77"/>
      <c r="D720" s="77"/>
      <c r="E720" s="78"/>
      <c r="F720" s="77"/>
      <c r="G720" s="77"/>
      <c r="H720" s="79" t="n">
        <f aca="false">N(H719)+IFERROR(IF(AND($A720&lt;&gt;"",$E720&lt;&gt;"",$A720&gt;=IF(Search!$E$4="",0,Search!$E$4),$A720&lt;=IF(Search!$E$5="",99999,Search!$E$5),OR(Search!$E$6="",ISNUMBER(SEARCH(Search!$E$6,$C720))),OR(Search!$E$7="All",Search!$E$7="",$D720=Search!$E$7),OR(Search!$E$8="",Search!$E$9="",AND($B720&lt;&gt;"",MOD($B720,1)&gt;=Search!$E$8,MOD($B720,1)&lt;=Search!$E$9))),1,0),0)</f>
        <v>0</v>
      </c>
      <c r="I720" s="79" t="n">
        <f aca="false">IF(H720&gt;N(H719),$E720,0)</f>
        <v>0</v>
      </c>
      <c r="J720" s="79" t="n">
        <f aca="false">IFERROR(IF(AND($A720&lt;&gt;"",$E720&lt;&gt;"",$A720&gt;=PeriodStart,$A720&lt;=PeriodEnd),$E720+ROW()/1000000,0),0)</f>
        <v>0</v>
      </c>
    </row>
    <row r="721" customFormat="false" ht="15" hidden="false" customHeight="false" outlineLevel="0" collapsed="false">
      <c r="A721" s="75"/>
      <c r="B721" s="76"/>
      <c r="C721" s="77"/>
      <c r="D721" s="77"/>
      <c r="E721" s="78"/>
      <c r="F721" s="77"/>
      <c r="G721" s="77"/>
      <c r="H721" s="79" t="n">
        <f aca="false">N(H720)+IFERROR(IF(AND($A721&lt;&gt;"",$E721&lt;&gt;"",$A721&gt;=IF(Search!$E$4="",0,Search!$E$4),$A721&lt;=IF(Search!$E$5="",99999,Search!$E$5),OR(Search!$E$6="",ISNUMBER(SEARCH(Search!$E$6,$C721))),OR(Search!$E$7="All",Search!$E$7="",$D721=Search!$E$7),OR(Search!$E$8="",Search!$E$9="",AND($B721&lt;&gt;"",MOD($B721,1)&gt;=Search!$E$8,MOD($B721,1)&lt;=Search!$E$9))),1,0),0)</f>
        <v>0</v>
      </c>
      <c r="I721" s="79" t="n">
        <f aca="false">IF(H721&gt;N(H720),$E721,0)</f>
        <v>0</v>
      </c>
      <c r="J721" s="79" t="n">
        <f aca="false">IFERROR(IF(AND($A721&lt;&gt;"",$E721&lt;&gt;"",$A721&gt;=PeriodStart,$A721&lt;=PeriodEnd),$E721+ROW()/1000000,0),0)</f>
        <v>0</v>
      </c>
    </row>
    <row r="722" customFormat="false" ht="15" hidden="false" customHeight="false" outlineLevel="0" collapsed="false">
      <c r="A722" s="75"/>
      <c r="B722" s="76"/>
      <c r="C722" s="77"/>
      <c r="D722" s="77"/>
      <c r="E722" s="78"/>
      <c r="F722" s="77"/>
      <c r="G722" s="77"/>
      <c r="H722" s="79" t="n">
        <f aca="false">N(H721)+IFERROR(IF(AND($A722&lt;&gt;"",$E722&lt;&gt;"",$A722&gt;=IF(Search!$E$4="",0,Search!$E$4),$A722&lt;=IF(Search!$E$5="",99999,Search!$E$5),OR(Search!$E$6="",ISNUMBER(SEARCH(Search!$E$6,$C722))),OR(Search!$E$7="All",Search!$E$7="",$D722=Search!$E$7),OR(Search!$E$8="",Search!$E$9="",AND($B722&lt;&gt;"",MOD($B722,1)&gt;=Search!$E$8,MOD($B722,1)&lt;=Search!$E$9))),1,0),0)</f>
        <v>0</v>
      </c>
      <c r="I722" s="79" t="n">
        <f aca="false">IF(H722&gt;N(H721),$E722,0)</f>
        <v>0</v>
      </c>
      <c r="J722" s="79" t="n">
        <f aca="false">IFERROR(IF(AND($A722&lt;&gt;"",$E722&lt;&gt;"",$A722&gt;=PeriodStart,$A722&lt;=PeriodEnd),$E722+ROW()/1000000,0),0)</f>
        <v>0</v>
      </c>
    </row>
    <row r="723" customFormat="false" ht="15" hidden="false" customHeight="false" outlineLevel="0" collapsed="false">
      <c r="A723" s="75"/>
      <c r="B723" s="76"/>
      <c r="C723" s="77"/>
      <c r="D723" s="77"/>
      <c r="E723" s="78"/>
      <c r="F723" s="77"/>
      <c r="G723" s="77"/>
      <c r="H723" s="79" t="n">
        <f aca="false">N(H722)+IFERROR(IF(AND($A723&lt;&gt;"",$E723&lt;&gt;"",$A723&gt;=IF(Search!$E$4="",0,Search!$E$4),$A723&lt;=IF(Search!$E$5="",99999,Search!$E$5),OR(Search!$E$6="",ISNUMBER(SEARCH(Search!$E$6,$C723))),OR(Search!$E$7="All",Search!$E$7="",$D723=Search!$E$7),OR(Search!$E$8="",Search!$E$9="",AND($B723&lt;&gt;"",MOD($B723,1)&gt;=Search!$E$8,MOD($B723,1)&lt;=Search!$E$9))),1,0),0)</f>
        <v>0</v>
      </c>
      <c r="I723" s="79" t="n">
        <f aca="false">IF(H723&gt;N(H722),$E723,0)</f>
        <v>0</v>
      </c>
      <c r="J723" s="79" t="n">
        <f aca="false">IFERROR(IF(AND($A723&lt;&gt;"",$E723&lt;&gt;"",$A723&gt;=PeriodStart,$A723&lt;=PeriodEnd),$E723+ROW()/1000000,0),0)</f>
        <v>0</v>
      </c>
    </row>
    <row r="724" customFormat="false" ht="15" hidden="false" customHeight="false" outlineLevel="0" collapsed="false">
      <c r="A724" s="75"/>
      <c r="B724" s="76"/>
      <c r="C724" s="77"/>
      <c r="D724" s="77"/>
      <c r="E724" s="78"/>
      <c r="F724" s="77"/>
      <c r="G724" s="77"/>
      <c r="H724" s="79" t="n">
        <f aca="false">N(H723)+IFERROR(IF(AND($A724&lt;&gt;"",$E724&lt;&gt;"",$A724&gt;=IF(Search!$E$4="",0,Search!$E$4),$A724&lt;=IF(Search!$E$5="",99999,Search!$E$5),OR(Search!$E$6="",ISNUMBER(SEARCH(Search!$E$6,$C724))),OR(Search!$E$7="All",Search!$E$7="",$D724=Search!$E$7),OR(Search!$E$8="",Search!$E$9="",AND($B724&lt;&gt;"",MOD($B724,1)&gt;=Search!$E$8,MOD($B724,1)&lt;=Search!$E$9))),1,0),0)</f>
        <v>0</v>
      </c>
      <c r="I724" s="79" t="n">
        <f aca="false">IF(H724&gt;N(H723),$E724,0)</f>
        <v>0</v>
      </c>
      <c r="J724" s="79" t="n">
        <f aca="false">IFERROR(IF(AND($A724&lt;&gt;"",$E724&lt;&gt;"",$A724&gt;=PeriodStart,$A724&lt;=PeriodEnd),$E724+ROW()/1000000,0),0)</f>
        <v>0</v>
      </c>
    </row>
    <row r="725" customFormat="false" ht="15" hidden="false" customHeight="false" outlineLevel="0" collapsed="false">
      <c r="A725" s="75"/>
      <c r="B725" s="76"/>
      <c r="C725" s="77"/>
      <c r="D725" s="77"/>
      <c r="E725" s="78"/>
      <c r="F725" s="77"/>
      <c r="G725" s="77"/>
      <c r="H725" s="79" t="n">
        <f aca="false">N(H724)+IFERROR(IF(AND($A725&lt;&gt;"",$E725&lt;&gt;"",$A725&gt;=IF(Search!$E$4="",0,Search!$E$4),$A725&lt;=IF(Search!$E$5="",99999,Search!$E$5),OR(Search!$E$6="",ISNUMBER(SEARCH(Search!$E$6,$C725))),OR(Search!$E$7="All",Search!$E$7="",$D725=Search!$E$7),OR(Search!$E$8="",Search!$E$9="",AND($B725&lt;&gt;"",MOD($B725,1)&gt;=Search!$E$8,MOD($B725,1)&lt;=Search!$E$9))),1,0),0)</f>
        <v>0</v>
      </c>
      <c r="I725" s="79" t="n">
        <f aca="false">IF(H725&gt;N(H724),$E725,0)</f>
        <v>0</v>
      </c>
      <c r="J725" s="79" t="n">
        <f aca="false">IFERROR(IF(AND($A725&lt;&gt;"",$E725&lt;&gt;"",$A725&gt;=PeriodStart,$A725&lt;=PeriodEnd),$E725+ROW()/1000000,0),0)</f>
        <v>0</v>
      </c>
    </row>
    <row r="726" customFormat="false" ht="15" hidden="false" customHeight="false" outlineLevel="0" collapsed="false">
      <c r="A726" s="75"/>
      <c r="B726" s="76"/>
      <c r="C726" s="77"/>
      <c r="D726" s="77"/>
      <c r="E726" s="78"/>
      <c r="F726" s="77"/>
      <c r="G726" s="77"/>
      <c r="H726" s="79" t="n">
        <f aca="false">N(H725)+IFERROR(IF(AND($A726&lt;&gt;"",$E726&lt;&gt;"",$A726&gt;=IF(Search!$E$4="",0,Search!$E$4),$A726&lt;=IF(Search!$E$5="",99999,Search!$E$5),OR(Search!$E$6="",ISNUMBER(SEARCH(Search!$E$6,$C726))),OR(Search!$E$7="All",Search!$E$7="",$D726=Search!$E$7),OR(Search!$E$8="",Search!$E$9="",AND($B726&lt;&gt;"",MOD($B726,1)&gt;=Search!$E$8,MOD($B726,1)&lt;=Search!$E$9))),1,0),0)</f>
        <v>0</v>
      </c>
      <c r="I726" s="79" t="n">
        <f aca="false">IF(H726&gt;N(H725),$E726,0)</f>
        <v>0</v>
      </c>
      <c r="J726" s="79" t="n">
        <f aca="false">IFERROR(IF(AND($A726&lt;&gt;"",$E726&lt;&gt;"",$A726&gt;=PeriodStart,$A726&lt;=PeriodEnd),$E726+ROW()/1000000,0),0)</f>
        <v>0</v>
      </c>
    </row>
    <row r="727" customFormat="false" ht="15" hidden="false" customHeight="false" outlineLevel="0" collapsed="false">
      <c r="A727" s="75"/>
      <c r="B727" s="76"/>
      <c r="C727" s="77"/>
      <c r="D727" s="77"/>
      <c r="E727" s="78"/>
      <c r="F727" s="77"/>
      <c r="G727" s="77"/>
      <c r="H727" s="79" t="n">
        <f aca="false">N(H726)+IFERROR(IF(AND($A727&lt;&gt;"",$E727&lt;&gt;"",$A727&gt;=IF(Search!$E$4="",0,Search!$E$4),$A727&lt;=IF(Search!$E$5="",99999,Search!$E$5),OR(Search!$E$6="",ISNUMBER(SEARCH(Search!$E$6,$C727))),OR(Search!$E$7="All",Search!$E$7="",$D727=Search!$E$7),OR(Search!$E$8="",Search!$E$9="",AND($B727&lt;&gt;"",MOD($B727,1)&gt;=Search!$E$8,MOD($B727,1)&lt;=Search!$E$9))),1,0),0)</f>
        <v>0</v>
      </c>
      <c r="I727" s="79" t="n">
        <f aca="false">IF(H727&gt;N(H726),$E727,0)</f>
        <v>0</v>
      </c>
      <c r="J727" s="79" t="n">
        <f aca="false">IFERROR(IF(AND($A727&lt;&gt;"",$E727&lt;&gt;"",$A727&gt;=PeriodStart,$A727&lt;=PeriodEnd),$E727+ROW()/1000000,0),0)</f>
        <v>0</v>
      </c>
    </row>
    <row r="728" customFormat="false" ht="15" hidden="false" customHeight="false" outlineLevel="0" collapsed="false">
      <c r="A728" s="75"/>
      <c r="B728" s="76"/>
      <c r="C728" s="77"/>
      <c r="D728" s="77"/>
      <c r="E728" s="78"/>
      <c r="F728" s="77"/>
      <c r="G728" s="77"/>
      <c r="H728" s="79" t="n">
        <f aca="false">N(H727)+IFERROR(IF(AND($A728&lt;&gt;"",$E728&lt;&gt;"",$A728&gt;=IF(Search!$E$4="",0,Search!$E$4),$A728&lt;=IF(Search!$E$5="",99999,Search!$E$5),OR(Search!$E$6="",ISNUMBER(SEARCH(Search!$E$6,$C728))),OR(Search!$E$7="All",Search!$E$7="",$D728=Search!$E$7),OR(Search!$E$8="",Search!$E$9="",AND($B728&lt;&gt;"",MOD($B728,1)&gt;=Search!$E$8,MOD($B728,1)&lt;=Search!$E$9))),1,0),0)</f>
        <v>0</v>
      </c>
      <c r="I728" s="79" t="n">
        <f aca="false">IF(H728&gt;N(H727),$E728,0)</f>
        <v>0</v>
      </c>
      <c r="J728" s="79" t="n">
        <f aca="false">IFERROR(IF(AND($A728&lt;&gt;"",$E728&lt;&gt;"",$A728&gt;=PeriodStart,$A728&lt;=PeriodEnd),$E728+ROW()/1000000,0),0)</f>
        <v>0</v>
      </c>
    </row>
    <row r="729" customFormat="false" ht="15" hidden="false" customHeight="false" outlineLevel="0" collapsed="false">
      <c r="A729" s="75"/>
      <c r="B729" s="76"/>
      <c r="C729" s="77"/>
      <c r="D729" s="77"/>
      <c r="E729" s="78"/>
      <c r="F729" s="77"/>
      <c r="G729" s="77"/>
      <c r="H729" s="79" t="n">
        <f aca="false">N(H728)+IFERROR(IF(AND($A729&lt;&gt;"",$E729&lt;&gt;"",$A729&gt;=IF(Search!$E$4="",0,Search!$E$4),$A729&lt;=IF(Search!$E$5="",99999,Search!$E$5),OR(Search!$E$6="",ISNUMBER(SEARCH(Search!$E$6,$C729))),OR(Search!$E$7="All",Search!$E$7="",$D729=Search!$E$7),OR(Search!$E$8="",Search!$E$9="",AND($B729&lt;&gt;"",MOD($B729,1)&gt;=Search!$E$8,MOD($B729,1)&lt;=Search!$E$9))),1,0),0)</f>
        <v>0</v>
      </c>
      <c r="I729" s="79" t="n">
        <f aca="false">IF(H729&gt;N(H728),$E729,0)</f>
        <v>0</v>
      </c>
      <c r="J729" s="79" t="n">
        <f aca="false">IFERROR(IF(AND($A729&lt;&gt;"",$E729&lt;&gt;"",$A729&gt;=PeriodStart,$A729&lt;=PeriodEnd),$E729+ROW()/1000000,0),0)</f>
        <v>0</v>
      </c>
    </row>
    <row r="730" customFormat="false" ht="15" hidden="false" customHeight="false" outlineLevel="0" collapsed="false">
      <c r="A730" s="75"/>
      <c r="B730" s="76"/>
      <c r="C730" s="77"/>
      <c r="D730" s="77"/>
      <c r="E730" s="78"/>
      <c r="F730" s="77"/>
      <c r="G730" s="77"/>
      <c r="H730" s="79" t="n">
        <f aca="false">N(H729)+IFERROR(IF(AND($A730&lt;&gt;"",$E730&lt;&gt;"",$A730&gt;=IF(Search!$E$4="",0,Search!$E$4),$A730&lt;=IF(Search!$E$5="",99999,Search!$E$5),OR(Search!$E$6="",ISNUMBER(SEARCH(Search!$E$6,$C730))),OR(Search!$E$7="All",Search!$E$7="",$D730=Search!$E$7),OR(Search!$E$8="",Search!$E$9="",AND($B730&lt;&gt;"",MOD($B730,1)&gt;=Search!$E$8,MOD($B730,1)&lt;=Search!$E$9))),1,0),0)</f>
        <v>0</v>
      </c>
      <c r="I730" s="79" t="n">
        <f aca="false">IF(H730&gt;N(H729),$E730,0)</f>
        <v>0</v>
      </c>
      <c r="J730" s="79" t="n">
        <f aca="false">IFERROR(IF(AND($A730&lt;&gt;"",$E730&lt;&gt;"",$A730&gt;=PeriodStart,$A730&lt;=PeriodEnd),$E730+ROW()/1000000,0),0)</f>
        <v>0</v>
      </c>
    </row>
    <row r="731" customFormat="false" ht="15" hidden="false" customHeight="false" outlineLevel="0" collapsed="false">
      <c r="A731" s="75"/>
      <c r="B731" s="76"/>
      <c r="C731" s="77"/>
      <c r="D731" s="77"/>
      <c r="E731" s="78"/>
      <c r="F731" s="77"/>
      <c r="G731" s="77"/>
      <c r="H731" s="79" t="n">
        <f aca="false">N(H730)+IFERROR(IF(AND($A731&lt;&gt;"",$E731&lt;&gt;"",$A731&gt;=IF(Search!$E$4="",0,Search!$E$4),$A731&lt;=IF(Search!$E$5="",99999,Search!$E$5),OR(Search!$E$6="",ISNUMBER(SEARCH(Search!$E$6,$C731))),OR(Search!$E$7="All",Search!$E$7="",$D731=Search!$E$7),OR(Search!$E$8="",Search!$E$9="",AND($B731&lt;&gt;"",MOD($B731,1)&gt;=Search!$E$8,MOD($B731,1)&lt;=Search!$E$9))),1,0),0)</f>
        <v>0</v>
      </c>
      <c r="I731" s="79" t="n">
        <f aca="false">IF(H731&gt;N(H730),$E731,0)</f>
        <v>0</v>
      </c>
      <c r="J731" s="79" t="n">
        <f aca="false">IFERROR(IF(AND($A731&lt;&gt;"",$E731&lt;&gt;"",$A731&gt;=PeriodStart,$A731&lt;=PeriodEnd),$E731+ROW()/1000000,0),0)</f>
        <v>0</v>
      </c>
    </row>
    <row r="732" customFormat="false" ht="15" hidden="false" customHeight="false" outlineLevel="0" collapsed="false">
      <c r="A732" s="75"/>
      <c r="B732" s="76"/>
      <c r="C732" s="77"/>
      <c r="D732" s="77"/>
      <c r="E732" s="78"/>
      <c r="F732" s="77"/>
      <c r="G732" s="77"/>
      <c r="H732" s="79" t="n">
        <f aca="false">N(H731)+IFERROR(IF(AND($A732&lt;&gt;"",$E732&lt;&gt;"",$A732&gt;=IF(Search!$E$4="",0,Search!$E$4),$A732&lt;=IF(Search!$E$5="",99999,Search!$E$5),OR(Search!$E$6="",ISNUMBER(SEARCH(Search!$E$6,$C732))),OR(Search!$E$7="All",Search!$E$7="",$D732=Search!$E$7),OR(Search!$E$8="",Search!$E$9="",AND($B732&lt;&gt;"",MOD($B732,1)&gt;=Search!$E$8,MOD($B732,1)&lt;=Search!$E$9))),1,0),0)</f>
        <v>0</v>
      </c>
      <c r="I732" s="79" t="n">
        <f aca="false">IF(H732&gt;N(H731),$E732,0)</f>
        <v>0</v>
      </c>
      <c r="J732" s="79" t="n">
        <f aca="false">IFERROR(IF(AND($A732&lt;&gt;"",$E732&lt;&gt;"",$A732&gt;=PeriodStart,$A732&lt;=PeriodEnd),$E732+ROW()/1000000,0),0)</f>
        <v>0</v>
      </c>
    </row>
    <row r="733" customFormat="false" ht="15" hidden="false" customHeight="false" outlineLevel="0" collapsed="false">
      <c r="A733" s="75"/>
      <c r="B733" s="76"/>
      <c r="C733" s="77"/>
      <c r="D733" s="77"/>
      <c r="E733" s="78"/>
      <c r="F733" s="77"/>
      <c r="G733" s="77"/>
      <c r="H733" s="79" t="n">
        <f aca="false">N(H732)+IFERROR(IF(AND($A733&lt;&gt;"",$E733&lt;&gt;"",$A733&gt;=IF(Search!$E$4="",0,Search!$E$4),$A733&lt;=IF(Search!$E$5="",99999,Search!$E$5),OR(Search!$E$6="",ISNUMBER(SEARCH(Search!$E$6,$C733))),OR(Search!$E$7="All",Search!$E$7="",$D733=Search!$E$7),OR(Search!$E$8="",Search!$E$9="",AND($B733&lt;&gt;"",MOD($B733,1)&gt;=Search!$E$8,MOD($B733,1)&lt;=Search!$E$9))),1,0),0)</f>
        <v>0</v>
      </c>
      <c r="I733" s="79" t="n">
        <f aca="false">IF(H733&gt;N(H732),$E733,0)</f>
        <v>0</v>
      </c>
      <c r="J733" s="79" t="n">
        <f aca="false">IFERROR(IF(AND($A733&lt;&gt;"",$E733&lt;&gt;"",$A733&gt;=PeriodStart,$A733&lt;=PeriodEnd),$E733+ROW()/1000000,0),0)</f>
        <v>0</v>
      </c>
    </row>
    <row r="734" customFormat="false" ht="15" hidden="false" customHeight="false" outlineLevel="0" collapsed="false">
      <c r="A734" s="75"/>
      <c r="B734" s="76"/>
      <c r="C734" s="77"/>
      <c r="D734" s="77"/>
      <c r="E734" s="78"/>
      <c r="F734" s="77"/>
      <c r="G734" s="77"/>
      <c r="H734" s="79" t="n">
        <f aca="false">N(H733)+IFERROR(IF(AND($A734&lt;&gt;"",$E734&lt;&gt;"",$A734&gt;=IF(Search!$E$4="",0,Search!$E$4),$A734&lt;=IF(Search!$E$5="",99999,Search!$E$5),OR(Search!$E$6="",ISNUMBER(SEARCH(Search!$E$6,$C734))),OR(Search!$E$7="All",Search!$E$7="",$D734=Search!$E$7),OR(Search!$E$8="",Search!$E$9="",AND($B734&lt;&gt;"",MOD($B734,1)&gt;=Search!$E$8,MOD($B734,1)&lt;=Search!$E$9))),1,0),0)</f>
        <v>0</v>
      </c>
      <c r="I734" s="79" t="n">
        <f aca="false">IF(H734&gt;N(H733),$E734,0)</f>
        <v>0</v>
      </c>
      <c r="J734" s="79" t="n">
        <f aca="false">IFERROR(IF(AND($A734&lt;&gt;"",$E734&lt;&gt;"",$A734&gt;=PeriodStart,$A734&lt;=PeriodEnd),$E734+ROW()/1000000,0),0)</f>
        <v>0</v>
      </c>
    </row>
    <row r="735" customFormat="false" ht="15" hidden="false" customHeight="false" outlineLevel="0" collapsed="false">
      <c r="A735" s="75"/>
      <c r="B735" s="76"/>
      <c r="C735" s="77"/>
      <c r="D735" s="77"/>
      <c r="E735" s="78"/>
      <c r="F735" s="77"/>
      <c r="G735" s="77"/>
      <c r="H735" s="79" t="n">
        <f aca="false">N(H734)+IFERROR(IF(AND($A735&lt;&gt;"",$E735&lt;&gt;"",$A735&gt;=IF(Search!$E$4="",0,Search!$E$4),$A735&lt;=IF(Search!$E$5="",99999,Search!$E$5),OR(Search!$E$6="",ISNUMBER(SEARCH(Search!$E$6,$C735))),OR(Search!$E$7="All",Search!$E$7="",$D735=Search!$E$7),OR(Search!$E$8="",Search!$E$9="",AND($B735&lt;&gt;"",MOD($B735,1)&gt;=Search!$E$8,MOD($B735,1)&lt;=Search!$E$9))),1,0),0)</f>
        <v>0</v>
      </c>
      <c r="I735" s="79" t="n">
        <f aca="false">IF(H735&gt;N(H734),$E735,0)</f>
        <v>0</v>
      </c>
      <c r="J735" s="79" t="n">
        <f aca="false">IFERROR(IF(AND($A735&lt;&gt;"",$E735&lt;&gt;"",$A735&gt;=PeriodStart,$A735&lt;=PeriodEnd),$E735+ROW()/1000000,0),0)</f>
        <v>0</v>
      </c>
    </row>
    <row r="736" customFormat="false" ht="15" hidden="false" customHeight="false" outlineLevel="0" collapsed="false">
      <c r="A736" s="75"/>
      <c r="B736" s="76"/>
      <c r="C736" s="77"/>
      <c r="D736" s="77"/>
      <c r="E736" s="78"/>
      <c r="F736" s="77"/>
      <c r="G736" s="77"/>
      <c r="H736" s="79" t="n">
        <f aca="false">N(H735)+IFERROR(IF(AND($A736&lt;&gt;"",$E736&lt;&gt;"",$A736&gt;=IF(Search!$E$4="",0,Search!$E$4),$A736&lt;=IF(Search!$E$5="",99999,Search!$E$5),OR(Search!$E$6="",ISNUMBER(SEARCH(Search!$E$6,$C736))),OR(Search!$E$7="All",Search!$E$7="",$D736=Search!$E$7),OR(Search!$E$8="",Search!$E$9="",AND($B736&lt;&gt;"",MOD($B736,1)&gt;=Search!$E$8,MOD($B736,1)&lt;=Search!$E$9))),1,0),0)</f>
        <v>0</v>
      </c>
      <c r="I736" s="79" t="n">
        <f aca="false">IF(H736&gt;N(H735),$E736,0)</f>
        <v>0</v>
      </c>
      <c r="J736" s="79" t="n">
        <f aca="false">IFERROR(IF(AND($A736&lt;&gt;"",$E736&lt;&gt;"",$A736&gt;=PeriodStart,$A736&lt;=PeriodEnd),$E736+ROW()/1000000,0),0)</f>
        <v>0</v>
      </c>
    </row>
    <row r="737" customFormat="false" ht="15" hidden="false" customHeight="false" outlineLevel="0" collapsed="false">
      <c r="A737" s="75"/>
      <c r="B737" s="76"/>
      <c r="C737" s="77"/>
      <c r="D737" s="77"/>
      <c r="E737" s="78"/>
      <c r="F737" s="77"/>
      <c r="G737" s="77"/>
      <c r="H737" s="79" t="n">
        <f aca="false">N(H736)+IFERROR(IF(AND($A737&lt;&gt;"",$E737&lt;&gt;"",$A737&gt;=IF(Search!$E$4="",0,Search!$E$4),$A737&lt;=IF(Search!$E$5="",99999,Search!$E$5),OR(Search!$E$6="",ISNUMBER(SEARCH(Search!$E$6,$C737))),OR(Search!$E$7="All",Search!$E$7="",$D737=Search!$E$7),OR(Search!$E$8="",Search!$E$9="",AND($B737&lt;&gt;"",MOD($B737,1)&gt;=Search!$E$8,MOD($B737,1)&lt;=Search!$E$9))),1,0),0)</f>
        <v>0</v>
      </c>
      <c r="I737" s="79" t="n">
        <f aca="false">IF(H737&gt;N(H736),$E737,0)</f>
        <v>0</v>
      </c>
      <c r="J737" s="79" t="n">
        <f aca="false">IFERROR(IF(AND($A737&lt;&gt;"",$E737&lt;&gt;"",$A737&gt;=PeriodStart,$A737&lt;=PeriodEnd),$E737+ROW()/1000000,0),0)</f>
        <v>0</v>
      </c>
    </row>
    <row r="738" customFormat="false" ht="15" hidden="false" customHeight="false" outlineLevel="0" collapsed="false">
      <c r="A738" s="75"/>
      <c r="B738" s="76"/>
      <c r="C738" s="77"/>
      <c r="D738" s="77"/>
      <c r="E738" s="78"/>
      <c r="F738" s="77"/>
      <c r="G738" s="77"/>
      <c r="H738" s="79" t="n">
        <f aca="false">N(H737)+IFERROR(IF(AND($A738&lt;&gt;"",$E738&lt;&gt;"",$A738&gt;=IF(Search!$E$4="",0,Search!$E$4),$A738&lt;=IF(Search!$E$5="",99999,Search!$E$5),OR(Search!$E$6="",ISNUMBER(SEARCH(Search!$E$6,$C738))),OR(Search!$E$7="All",Search!$E$7="",$D738=Search!$E$7),OR(Search!$E$8="",Search!$E$9="",AND($B738&lt;&gt;"",MOD($B738,1)&gt;=Search!$E$8,MOD($B738,1)&lt;=Search!$E$9))),1,0),0)</f>
        <v>0</v>
      </c>
      <c r="I738" s="79" t="n">
        <f aca="false">IF(H738&gt;N(H737),$E738,0)</f>
        <v>0</v>
      </c>
      <c r="J738" s="79" t="n">
        <f aca="false">IFERROR(IF(AND($A738&lt;&gt;"",$E738&lt;&gt;"",$A738&gt;=PeriodStart,$A738&lt;=PeriodEnd),$E738+ROW()/1000000,0),0)</f>
        <v>0</v>
      </c>
    </row>
    <row r="739" customFormat="false" ht="15" hidden="false" customHeight="false" outlineLevel="0" collapsed="false">
      <c r="A739" s="75"/>
      <c r="B739" s="76"/>
      <c r="C739" s="77"/>
      <c r="D739" s="77"/>
      <c r="E739" s="78"/>
      <c r="F739" s="77"/>
      <c r="G739" s="77"/>
      <c r="H739" s="79" t="n">
        <f aca="false">N(H738)+IFERROR(IF(AND($A739&lt;&gt;"",$E739&lt;&gt;"",$A739&gt;=IF(Search!$E$4="",0,Search!$E$4),$A739&lt;=IF(Search!$E$5="",99999,Search!$E$5),OR(Search!$E$6="",ISNUMBER(SEARCH(Search!$E$6,$C739))),OR(Search!$E$7="All",Search!$E$7="",$D739=Search!$E$7),OR(Search!$E$8="",Search!$E$9="",AND($B739&lt;&gt;"",MOD($B739,1)&gt;=Search!$E$8,MOD($B739,1)&lt;=Search!$E$9))),1,0),0)</f>
        <v>0</v>
      </c>
      <c r="I739" s="79" t="n">
        <f aca="false">IF(H739&gt;N(H738),$E739,0)</f>
        <v>0</v>
      </c>
      <c r="J739" s="79" t="n">
        <f aca="false">IFERROR(IF(AND($A739&lt;&gt;"",$E739&lt;&gt;"",$A739&gt;=PeriodStart,$A739&lt;=PeriodEnd),$E739+ROW()/1000000,0),0)</f>
        <v>0</v>
      </c>
    </row>
    <row r="740" customFormat="false" ht="15" hidden="false" customHeight="false" outlineLevel="0" collapsed="false">
      <c r="A740" s="75"/>
      <c r="B740" s="76"/>
      <c r="C740" s="77"/>
      <c r="D740" s="77"/>
      <c r="E740" s="78"/>
      <c r="F740" s="77"/>
      <c r="G740" s="77"/>
      <c r="H740" s="79" t="n">
        <f aca="false">N(H739)+IFERROR(IF(AND($A740&lt;&gt;"",$E740&lt;&gt;"",$A740&gt;=IF(Search!$E$4="",0,Search!$E$4),$A740&lt;=IF(Search!$E$5="",99999,Search!$E$5),OR(Search!$E$6="",ISNUMBER(SEARCH(Search!$E$6,$C740))),OR(Search!$E$7="All",Search!$E$7="",$D740=Search!$E$7),OR(Search!$E$8="",Search!$E$9="",AND($B740&lt;&gt;"",MOD($B740,1)&gt;=Search!$E$8,MOD($B740,1)&lt;=Search!$E$9))),1,0),0)</f>
        <v>0</v>
      </c>
      <c r="I740" s="79" t="n">
        <f aca="false">IF(H740&gt;N(H739),$E740,0)</f>
        <v>0</v>
      </c>
      <c r="J740" s="79" t="n">
        <f aca="false">IFERROR(IF(AND($A740&lt;&gt;"",$E740&lt;&gt;"",$A740&gt;=PeriodStart,$A740&lt;=PeriodEnd),$E740+ROW()/1000000,0),0)</f>
        <v>0</v>
      </c>
    </row>
    <row r="741" customFormat="false" ht="15" hidden="false" customHeight="false" outlineLevel="0" collapsed="false">
      <c r="A741" s="75"/>
      <c r="B741" s="76"/>
      <c r="C741" s="77"/>
      <c r="D741" s="77"/>
      <c r="E741" s="78"/>
      <c r="F741" s="77"/>
      <c r="G741" s="77"/>
      <c r="H741" s="79" t="n">
        <f aca="false">N(H740)+IFERROR(IF(AND($A741&lt;&gt;"",$E741&lt;&gt;"",$A741&gt;=IF(Search!$E$4="",0,Search!$E$4),$A741&lt;=IF(Search!$E$5="",99999,Search!$E$5),OR(Search!$E$6="",ISNUMBER(SEARCH(Search!$E$6,$C741))),OR(Search!$E$7="All",Search!$E$7="",$D741=Search!$E$7),OR(Search!$E$8="",Search!$E$9="",AND($B741&lt;&gt;"",MOD($B741,1)&gt;=Search!$E$8,MOD($B741,1)&lt;=Search!$E$9))),1,0),0)</f>
        <v>0</v>
      </c>
      <c r="I741" s="79" t="n">
        <f aca="false">IF(H741&gt;N(H740),$E741,0)</f>
        <v>0</v>
      </c>
      <c r="J741" s="79" t="n">
        <f aca="false">IFERROR(IF(AND($A741&lt;&gt;"",$E741&lt;&gt;"",$A741&gt;=PeriodStart,$A741&lt;=PeriodEnd),$E741+ROW()/1000000,0),0)</f>
        <v>0</v>
      </c>
    </row>
    <row r="742" customFormat="false" ht="15" hidden="false" customHeight="false" outlineLevel="0" collapsed="false">
      <c r="A742" s="75"/>
      <c r="B742" s="76"/>
      <c r="C742" s="77"/>
      <c r="D742" s="77"/>
      <c r="E742" s="78"/>
      <c r="F742" s="77"/>
      <c r="G742" s="77"/>
      <c r="H742" s="79" t="n">
        <f aca="false">N(H741)+IFERROR(IF(AND($A742&lt;&gt;"",$E742&lt;&gt;"",$A742&gt;=IF(Search!$E$4="",0,Search!$E$4),$A742&lt;=IF(Search!$E$5="",99999,Search!$E$5),OR(Search!$E$6="",ISNUMBER(SEARCH(Search!$E$6,$C742))),OR(Search!$E$7="All",Search!$E$7="",$D742=Search!$E$7),OR(Search!$E$8="",Search!$E$9="",AND($B742&lt;&gt;"",MOD($B742,1)&gt;=Search!$E$8,MOD($B742,1)&lt;=Search!$E$9))),1,0),0)</f>
        <v>0</v>
      </c>
      <c r="I742" s="79" t="n">
        <f aca="false">IF(H742&gt;N(H741),$E742,0)</f>
        <v>0</v>
      </c>
      <c r="J742" s="79" t="n">
        <f aca="false">IFERROR(IF(AND($A742&lt;&gt;"",$E742&lt;&gt;"",$A742&gt;=PeriodStart,$A742&lt;=PeriodEnd),$E742+ROW()/1000000,0),0)</f>
        <v>0</v>
      </c>
    </row>
    <row r="743" customFormat="false" ht="15" hidden="false" customHeight="false" outlineLevel="0" collapsed="false">
      <c r="A743" s="75"/>
      <c r="B743" s="76"/>
      <c r="C743" s="77"/>
      <c r="D743" s="77"/>
      <c r="E743" s="78"/>
      <c r="F743" s="77"/>
      <c r="G743" s="77"/>
      <c r="H743" s="79" t="n">
        <f aca="false">N(H742)+IFERROR(IF(AND($A743&lt;&gt;"",$E743&lt;&gt;"",$A743&gt;=IF(Search!$E$4="",0,Search!$E$4),$A743&lt;=IF(Search!$E$5="",99999,Search!$E$5),OR(Search!$E$6="",ISNUMBER(SEARCH(Search!$E$6,$C743))),OR(Search!$E$7="All",Search!$E$7="",$D743=Search!$E$7),OR(Search!$E$8="",Search!$E$9="",AND($B743&lt;&gt;"",MOD($B743,1)&gt;=Search!$E$8,MOD($B743,1)&lt;=Search!$E$9))),1,0),0)</f>
        <v>0</v>
      </c>
      <c r="I743" s="79" t="n">
        <f aca="false">IF(H743&gt;N(H742),$E743,0)</f>
        <v>0</v>
      </c>
      <c r="J743" s="79" t="n">
        <f aca="false">IFERROR(IF(AND($A743&lt;&gt;"",$E743&lt;&gt;"",$A743&gt;=PeriodStart,$A743&lt;=PeriodEnd),$E743+ROW()/1000000,0),0)</f>
        <v>0</v>
      </c>
    </row>
    <row r="744" customFormat="false" ht="15" hidden="false" customHeight="false" outlineLevel="0" collapsed="false">
      <c r="A744" s="75"/>
      <c r="B744" s="76"/>
      <c r="C744" s="77"/>
      <c r="D744" s="77"/>
      <c r="E744" s="78"/>
      <c r="F744" s="77"/>
      <c r="G744" s="77"/>
      <c r="H744" s="79" t="n">
        <f aca="false">N(H743)+IFERROR(IF(AND($A744&lt;&gt;"",$E744&lt;&gt;"",$A744&gt;=IF(Search!$E$4="",0,Search!$E$4),$A744&lt;=IF(Search!$E$5="",99999,Search!$E$5),OR(Search!$E$6="",ISNUMBER(SEARCH(Search!$E$6,$C744))),OR(Search!$E$7="All",Search!$E$7="",$D744=Search!$E$7),OR(Search!$E$8="",Search!$E$9="",AND($B744&lt;&gt;"",MOD($B744,1)&gt;=Search!$E$8,MOD($B744,1)&lt;=Search!$E$9))),1,0),0)</f>
        <v>0</v>
      </c>
      <c r="I744" s="79" t="n">
        <f aca="false">IF(H744&gt;N(H743),$E744,0)</f>
        <v>0</v>
      </c>
      <c r="J744" s="79" t="n">
        <f aca="false">IFERROR(IF(AND($A744&lt;&gt;"",$E744&lt;&gt;"",$A744&gt;=PeriodStart,$A744&lt;=PeriodEnd),$E744+ROW()/1000000,0),0)</f>
        <v>0</v>
      </c>
    </row>
    <row r="745" customFormat="false" ht="15" hidden="false" customHeight="false" outlineLevel="0" collapsed="false">
      <c r="A745" s="75"/>
      <c r="B745" s="76"/>
      <c r="C745" s="77"/>
      <c r="D745" s="77"/>
      <c r="E745" s="78"/>
      <c r="F745" s="77"/>
      <c r="G745" s="77"/>
      <c r="H745" s="79" t="n">
        <f aca="false">N(H744)+IFERROR(IF(AND($A745&lt;&gt;"",$E745&lt;&gt;"",$A745&gt;=IF(Search!$E$4="",0,Search!$E$4),$A745&lt;=IF(Search!$E$5="",99999,Search!$E$5),OR(Search!$E$6="",ISNUMBER(SEARCH(Search!$E$6,$C745))),OR(Search!$E$7="All",Search!$E$7="",$D745=Search!$E$7),OR(Search!$E$8="",Search!$E$9="",AND($B745&lt;&gt;"",MOD($B745,1)&gt;=Search!$E$8,MOD($B745,1)&lt;=Search!$E$9))),1,0),0)</f>
        <v>0</v>
      </c>
      <c r="I745" s="79" t="n">
        <f aca="false">IF(H745&gt;N(H744),$E745,0)</f>
        <v>0</v>
      </c>
      <c r="J745" s="79" t="n">
        <f aca="false">IFERROR(IF(AND($A745&lt;&gt;"",$E745&lt;&gt;"",$A745&gt;=PeriodStart,$A745&lt;=PeriodEnd),$E745+ROW()/1000000,0),0)</f>
        <v>0</v>
      </c>
    </row>
    <row r="746" customFormat="false" ht="15" hidden="false" customHeight="false" outlineLevel="0" collapsed="false">
      <c r="A746" s="75"/>
      <c r="B746" s="76"/>
      <c r="C746" s="77"/>
      <c r="D746" s="77"/>
      <c r="E746" s="78"/>
      <c r="F746" s="77"/>
      <c r="G746" s="77"/>
      <c r="H746" s="79" t="n">
        <f aca="false">N(H745)+IFERROR(IF(AND($A746&lt;&gt;"",$E746&lt;&gt;"",$A746&gt;=IF(Search!$E$4="",0,Search!$E$4),$A746&lt;=IF(Search!$E$5="",99999,Search!$E$5),OR(Search!$E$6="",ISNUMBER(SEARCH(Search!$E$6,$C746))),OR(Search!$E$7="All",Search!$E$7="",$D746=Search!$E$7),OR(Search!$E$8="",Search!$E$9="",AND($B746&lt;&gt;"",MOD($B746,1)&gt;=Search!$E$8,MOD($B746,1)&lt;=Search!$E$9))),1,0),0)</f>
        <v>0</v>
      </c>
      <c r="I746" s="79" t="n">
        <f aca="false">IF(H746&gt;N(H745),$E746,0)</f>
        <v>0</v>
      </c>
      <c r="J746" s="79" t="n">
        <f aca="false">IFERROR(IF(AND($A746&lt;&gt;"",$E746&lt;&gt;"",$A746&gt;=PeriodStart,$A746&lt;=PeriodEnd),$E746+ROW()/1000000,0),0)</f>
        <v>0</v>
      </c>
    </row>
    <row r="747" customFormat="false" ht="15" hidden="false" customHeight="false" outlineLevel="0" collapsed="false">
      <c r="A747" s="75"/>
      <c r="B747" s="76"/>
      <c r="C747" s="77"/>
      <c r="D747" s="77"/>
      <c r="E747" s="78"/>
      <c r="F747" s="77"/>
      <c r="G747" s="77"/>
      <c r="H747" s="79" t="n">
        <f aca="false">N(H746)+IFERROR(IF(AND($A747&lt;&gt;"",$E747&lt;&gt;"",$A747&gt;=IF(Search!$E$4="",0,Search!$E$4),$A747&lt;=IF(Search!$E$5="",99999,Search!$E$5),OR(Search!$E$6="",ISNUMBER(SEARCH(Search!$E$6,$C747))),OR(Search!$E$7="All",Search!$E$7="",$D747=Search!$E$7),OR(Search!$E$8="",Search!$E$9="",AND($B747&lt;&gt;"",MOD($B747,1)&gt;=Search!$E$8,MOD($B747,1)&lt;=Search!$E$9))),1,0),0)</f>
        <v>0</v>
      </c>
      <c r="I747" s="79" t="n">
        <f aca="false">IF(H747&gt;N(H746),$E747,0)</f>
        <v>0</v>
      </c>
      <c r="J747" s="79" t="n">
        <f aca="false">IFERROR(IF(AND($A747&lt;&gt;"",$E747&lt;&gt;"",$A747&gt;=PeriodStart,$A747&lt;=PeriodEnd),$E747+ROW()/1000000,0),0)</f>
        <v>0</v>
      </c>
    </row>
    <row r="748" customFormat="false" ht="15" hidden="false" customHeight="false" outlineLevel="0" collapsed="false">
      <c r="A748" s="75"/>
      <c r="B748" s="76"/>
      <c r="C748" s="77"/>
      <c r="D748" s="77"/>
      <c r="E748" s="78"/>
      <c r="F748" s="77"/>
      <c r="G748" s="77"/>
      <c r="H748" s="79" t="n">
        <f aca="false">N(H747)+IFERROR(IF(AND($A748&lt;&gt;"",$E748&lt;&gt;"",$A748&gt;=IF(Search!$E$4="",0,Search!$E$4),$A748&lt;=IF(Search!$E$5="",99999,Search!$E$5),OR(Search!$E$6="",ISNUMBER(SEARCH(Search!$E$6,$C748))),OR(Search!$E$7="All",Search!$E$7="",$D748=Search!$E$7),OR(Search!$E$8="",Search!$E$9="",AND($B748&lt;&gt;"",MOD($B748,1)&gt;=Search!$E$8,MOD($B748,1)&lt;=Search!$E$9))),1,0),0)</f>
        <v>0</v>
      </c>
      <c r="I748" s="79" t="n">
        <f aca="false">IF(H748&gt;N(H747),$E748,0)</f>
        <v>0</v>
      </c>
      <c r="J748" s="79" t="n">
        <f aca="false">IFERROR(IF(AND($A748&lt;&gt;"",$E748&lt;&gt;"",$A748&gt;=PeriodStart,$A748&lt;=PeriodEnd),$E748+ROW()/1000000,0),0)</f>
        <v>0</v>
      </c>
    </row>
    <row r="749" customFormat="false" ht="15" hidden="false" customHeight="false" outlineLevel="0" collapsed="false">
      <c r="A749" s="75"/>
      <c r="B749" s="76"/>
      <c r="C749" s="77"/>
      <c r="D749" s="77"/>
      <c r="E749" s="78"/>
      <c r="F749" s="77"/>
      <c r="G749" s="77"/>
      <c r="H749" s="79" t="n">
        <f aca="false">N(H748)+IFERROR(IF(AND($A749&lt;&gt;"",$E749&lt;&gt;"",$A749&gt;=IF(Search!$E$4="",0,Search!$E$4),$A749&lt;=IF(Search!$E$5="",99999,Search!$E$5),OR(Search!$E$6="",ISNUMBER(SEARCH(Search!$E$6,$C749))),OR(Search!$E$7="All",Search!$E$7="",$D749=Search!$E$7),OR(Search!$E$8="",Search!$E$9="",AND($B749&lt;&gt;"",MOD($B749,1)&gt;=Search!$E$8,MOD($B749,1)&lt;=Search!$E$9))),1,0),0)</f>
        <v>0</v>
      </c>
      <c r="I749" s="79" t="n">
        <f aca="false">IF(H749&gt;N(H748),$E749,0)</f>
        <v>0</v>
      </c>
      <c r="J749" s="79" t="n">
        <f aca="false">IFERROR(IF(AND($A749&lt;&gt;"",$E749&lt;&gt;"",$A749&gt;=PeriodStart,$A749&lt;=PeriodEnd),$E749+ROW()/1000000,0),0)</f>
        <v>0</v>
      </c>
    </row>
    <row r="750" customFormat="false" ht="15" hidden="false" customHeight="false" outlineLevel="0" collapsed="false">
      <c r="A750" s="75"/>
      <c r="B750" s="76"/>
      <c r="C750" s="77"/>
      <c r="D750" s="77"/>
      <c r="E750" s="78"/>
      <c r="F750" s="77"/>
      <c r="G750" s="77"/>
      <c r="H750" s="79" t="n">
        <f aca="false">N(H749)+IFERROR(IF(AND($A750&lt;&gt;"",$E750&lt;&gt;"",$A750&gt;=IF(Search!$E$4="",0,Search!$E$4),$A750&lt;=IF(Search!$E$5="",99999,Search!$E$5),OR(Search!$E$6="",ISNUMBER(SEARCH(Search!$E$6,$C750))),OR(Search!$E$7="All",Search!$E$7="",$D750=Search!$E$7),OR(Search!$E$8="",Search!$E$9="",AND($B750&lt;&gt;"",MOD($B750,1)&gt;=Search!$E$8,MOD($B750,1)&lt;=Search!$E$9))),1,0),0)</f>
        <v>0</v>
      </c>
      <c r="I750" s="79" t="n">
        <f aca="false">IF(H750&gt;N(H749),$E750,0)</f>
        <v>0</v>
      </c>
      <c r="J750" s="79" t="n">
        <f aca="false">IFERROR(IF(AND($A750&lt;&gt;"",$E750&lt;&gt;"",$A750&gt;=PeriodStart,$A750&lt;=PeriodEnd),$E750+ROW()/1000000,0),0)</f>
        <v>0</v>
      </c>
    </row>
    <row r="751" customFormat="false" ht="15" hidden="false" customHeight="false" outlineLevel="0" collapsed="false">
      <c r="A751" s="75"/>
      <c r="B751" s="76"/>
      <c r="C751" s="77"/>
      <c r="D751" s="77"/>
      <c r="E751" s="78"/>
      <c r="F751" s="77"/>
      <c r="G751" s="77"/>
      <c r="H751" s="79" t="n">
        <f aca="false">N(H750)+IFERROR(IF(AND($A751&lt;&gt;"",$E751&lt;&gt;"",$A751&gt;=IF(Search!$E$4="",0,Search!$E$4),$A751&lt;=IF(Search!$E$5="",99999,Search!$E$5),OR(Search!$E$6="",ISNUMBER(SEARCH(Search!$E$6,$C751))),OR(Search!$E$7="All",Search!$E$7="",$D751=Search!$E$7),OR(Search!$E$8="",Search!$E$9="",AND($B751&lt;&gt;"",MOD($B751,1)&gt;=Search!$E$8,MOD($B751,1)&lt;=Search!$E$9))),1,0),0)</f>
        <v>0</v>
      </c>
      <c r="I751" s="79" t="n">
        <f aca="false">IF(H751&gt;N(H750),$E751,0)</f>
        <v>0</v>
      </c>
      <c r="J751" s="79" t="n">
        <f aca="false">IFERROR(IF(AND($A751&lt;&gt;"",$E751&lt;&gt;"",$A751&gt;=PeriodStart,$A751&lt;=PeriodEnd),$E751+ROW()/1000000,0),0)</f>
        <v>0</v>
      </c>
    </row>
    <row r="752" customFormat="false" ht="15" hidden="false" customHeight="false" outlineLevel="0" collapsed="false">
      <c r="A752" s="75"/>
      <c r="B752" s="76"/>
      <c r="C752" s="77"/>
      <c r="D752" s="77"/>
      <c r="E752" s="78"/>
      <c r="F752" s="77"/>
      <c r="G752" s="77"/>
      <c r="H752" s="79" t="n">
        <f aca="false">N(H751)+IFERROR(IF(AND($A752&lt;&gt;"",$E752&lt;&gt;"",$A752&gt;=IF(Search!$E$4="",0,Search!$E$4),$A752&lt;=IF(Search!$E$5="",99999,Search!$E$5),OR(Search!$E$6="",ISNUMBER(SEARCH(Search!$E$6,$C752))),OR(Search!$E$7="All",Search!$E$7="",$D752=Search!$E$7),OR(Search!$E$8="",Search!$E$9="",AND($B752&lt;&gt;"",MOD($B752,1)&gt;=Search!$E$8,MOD($B752,1)&lt;=Search!$E$9))),1,0),0)</f>
        <v>0</v>
      </c>
      <c r="I752" s="79" t="n">
        <f aca="false">IF(H752&gt;N(H751),$E752,0)</f>
        <v>0</v>
      </c>
      <c r="J752" s="79" t="n">
        <f aca="false">IFERROR(IF(AND($A752&lt;&gt;"",$E752&lt;&gt;"",$A752&gt;=PeriodStart,$A752&lt;=PeriodEnd),$E752+ROW()/1000000,0),0)</f>
        <v>0</v>
      </c>
    </row>
    <row r="753" customFormat="false" ht="15" hidden="false" customHeight="false" outlineLevel="0" collapsed="false">
      <c r="A753" s="75"/>
      <c r="B753" s="76"/>
      <c r="C753" s="77"/>
      <c r="D753" s="77"/>
      <c r="E753" s="78"/>
      <c r="F753" s="77"/>
      <c r="G753" s="77"/>
      <c r="H753" s="79" t="n">
        <f aca="false">N(H752)+IFERROR(IF(AND($A753&lt;&gt;"",$E753&lt;&gt;"",$A753&gt;=IF(Search!$E$4="",0,Search!$E$4),$A753&lt;=IF(Search!$E$5="",99999,Search!$E$5),OR(Search!$E$6="",ISNUMBER(SEARCH(Search!$E$6,$C753))),OR(Search!$E$7="All",Search!$E$7="",$D753=Search!$E$7),OR(Search!$E$8="",Search!$E$9="",AND($B753&lt;&gt;"",MOD($B753,1)&gt;=Search!$E$8,MOD($B753,1)&lt;=Search!$E$9))),1,0),0)</f>
        <v>0</v>
      </c>
      <c r="I753" s="79" t="n">
        <f aca="false">IF(H753&gt;N(H752),$E753,0)</f>
        <v>0</v>
      </c>
      <c r="J753" s="79" t="n">
        <f aca="false">IFERROR(IF(AND($A753&lt;&gt;"",$E753&lt;&gt;"",$A753&gt;=PeriodStart,$A753&lt;=PeriodEnd),$E753+ROW()/1000000,0),0)</f>
        <v>0</v>
      </c>
    </row>
    <row r="754" customFormat="false" ht="15" hidden="false" customHeight="false" outlineLevel="0" collapsed="false">
      <c r="A754" s="75"/>
      <c r="B754" s="76"/>
      <c r="C754" s="77"/>
      <c r="D754" s="77"/>
      <c r="E754" s="78"/>
      <c r="F754" s="77"/>
      <c r="G754" s="77"/>
      <c r="H754" s="79" t="n">
        <f aca="false">N(H753)+IFERROR(IF(AND($A754&lt;&gt;"",$E754&lt;&gt;"",$A754&gt;=IF(Search!$E$4="",0,Search!$E$4),$A754&lt;=IF(Search!$E$5="",99999,Search!$E$5),OR(Search!$E$6="",ISNUMBER(SEARCH(Search!$E$6,$C754))),OR(Search!$E$7="All",Search!$E$7="",$D754=Search!$E$7),OR(Search!$E$8="",Search!$E$9="",AND($B754&lt;&gt;"",MOD($B754,1)&gt;=Search!$E$8,MOD($B754,1)&lt;=Search!$E$9))),1,0),0)</f>
        <v>0</v>
      </c>
      <c r="I754" s="79" t="n">
        <f aca="false">IF(H754&gt;N(H753),$E754,0)</f>
        <v>0</v>
      </c>
      <c r="J754" s="79" t="n">
        <f aca="false">IFERROR(IF(AND($A754&lt;&gt;"",$E754&lt;&gt;"",$A754&gt;=PeriodStart,$A754&lt;=PeriodEnd),$E754+ROW()/1000000,0),0)</f>
        <v>0</v>
      </c>
    </row>
    <row r="755" customFormat="false" ht="15" hidden="false" customHeight="false" outlineLevel="0" collapsed="false">
      <c r="A755" s="75"/>
      <c r="B755" s="76"/>
      <c r="C755" s="77"/>
      <c r="D755" s="77"/>
      <c r="E755" s="78"/>
      <c r="F755" s="77"/>
      <c r="G755" s="77"/>
      <c r="H755" s="79" t="n">
        <f aca="false">N(H754)+IFERROR(IF(AND($A755&lt;&gt;"",$E755&lt;&gt;"",$A755&gt;=IF(Search!$E$4="",0,Search!$E$4),$A755&lt;=IF(Search!$E$5="",99999,Search!$E$5),OR(Search!$E$6="",ISNUMBER(SEARCH(Search!$E$6,$C755))),OR(Search!$E$7="All",Search!$E$7="",$D755=Search!$E$7),OR(Search!$E$8="",Search!$E$9="",AND($B755&lt;&gt;"",MOD($B755,1)&gt;=Search!$E$8,MOD($B755,1)&lt;=Search!$E$9))),1,0),0)</f>
        <v>0</v>
      </c>
      <c r="I755" s="79" t="n">
        <f aca="false">IF(H755&gt;N(H754),$E755,0)</f>
        <v>0</v>
      </c>
      <c r="J755" s="79" t="n">
        <f aca="false">IFERROR(IF(AND($A755&lt;&gt;"",$E755&lt;&gt;"",$A755&gt;=PeriodStart,$A755&lt;=PeriodEnd),$E755+ROW()/1000000,0),0)</f>
        <v>0</v>
      </c>
    </row>
    <row r="756" customFormat="false" ht="15" hidden="false" customHeight="false" outlineLevel="0" collapsed="false">
      <c r="A756" s="75"/>
      <c r="B756" s="76"/>
      <c r="C756" s="77"/>
      <c r="D756" s="77"/>
      <c r="E756" s="78"/>
      <c r="F756" s="77"/>
      <c r="G756" s="77"/>
      <c r="H756" s="79" t="n">
        <f aca="false">N(H755)+IFERROR(IF(AND($A756&lt;&gt;"",$E756&lt;&gt;"",$A756&gt;=IF(Search!$E$4="",0,Search!$E$4),$A756&lt;=IF(Search!$E$5="",99999,Search!$E$5),OR(Search!$E$6="",ISNUMBER(SEARCH(Search!$E$6,$C756))),OR(Search!$E$7="All",Search!$E$7="",$D756=Search!$E$7),OR(Search!$E$8="",Search!$E$9="",AND($B756&lt;&gt;"",MOD($B756,1)&gt;=Search!$E$8,MOD($B756,1)&lt;=Search!$E$9))),1,0),0)</f>
        <v>0</v>
      </c>
      <c r="I756" s="79" t="n">
        <f aca="false">IF(H756&gt;N(H755),$E756,0)</f>
        <v>0</v>
      </c>
      <c r="J756" s="79" t="n">
        <f aca="false">IFERROR(IF(AND($A756&lt;&gt;"",$E756&lt;&gt;"",$A756&gt;=PeriodStart,$A756&lt;=PeriodEnd),$E756+ROW()/1000000,0),0)</f>
        <v>0</v>
      </c>
    </row>
    <row r="757" customFormat="false" ht="15" hidden="false" customHeight="false" outlineLevel="0" collapsed="false">
      <c r="A757" s="75"/>
      <c r="B757" s="76"/>
      <c r="C757" s="77"/>
      <c r="D757" s="77"/>
      <c r="E757" s="78"/>
      <c r="F757" s="77"/>
      <c r="G757" s="77"/>
      <c r="H757" s="79" t="n">
        <f aca="false">N(H756)+IFERROR(IF(AND($A757&lt;&gt;"",$E757&lt;&gt;"",$A757&gt;=IF(Search!$E$4="",0,Search!$E$4),$A757&lt;=IF(Search!$E$5="",99999,Search!$E$5),OR(Search!$E$6="",ISNUMBER(SEARCH(Search!$E$6,$C757))),OR(Search!$E$7="All",Search!$E$7="",$D757=Search!$E$7),OR(Search!$E$8="",Search!$E$9="",AND($B757&lt;&gt;"",MOD($B757,1)&gt;=Search!$E$8,MOD($B757,1)&lt;=Search!$E$9))),1,0),0)</f>
        <v>0</v>
      </c>
      <c r="I757" s="79" t="n">
        <f aca="false">IF(H757&gt;N(H756),$E757,0)</f>
        <v>0</v>
      </c>
      <c r="J757" s="79" t="n">
        <f aca="false">IFERROR(IF(AND($A757&lt;&gt;"",$E757&lt;&gt;"",$A757&gt;=PeriodStart,$A757&lt;=PeriodEnd),$E757+ROW()/1000000,0),0)</f>
        <v>0</v>
      </c>
    </row>
    <row r="758" customFormat="false" ht="15" hidden="false" customHeight="false" outlineLevel="0" collapsed="false">
      <c r="A758" s="75"/>
      <c r="B758" s="76"/>
      <c r="C758" s="77"/>
      <c r="D758" s="77"/>
      <c r="E758" s="78"/>
      <c r="F758" s="77"/>
      <c r="G758" s="77"/>
      <c r="H758" s="79" t="n">
        <f aca="false">N(H757)+IFERROR(IF(AND($A758&lt;&gt;"",$E758&lt;&gt;"",$A758&gt;=IF(Search!$E$4="",0,Search!$E$4),$A758&lt;=IF(Search!$E$5="",99999,Search!$E$5),OR(Search!$E$6="",ISNUMBER(SEARCH(Search!$E$6,$C758))),OR(Search!$E$7="All",Search!$E$7="",$D758=Search!$E$7),OR(Search!$E$8="",Search!$E$9="",AND($B758&lt;&gt;"",MOD($B758,1)&gt;=Search!$E$8,MOD($B758,1)&lt;=Search!$E$9))),1,0),0)</f>
        <v>0</v>
      </c>
      <c r="I758" s="79" t="n">
        <f aca="false">IF(H758&gt;N(H757),$E758,0)</f>
        <v>0</v>
      </c>
      <c r="J758" s="79" t="n">
        <f aca="false">IFERROR(IF(AND($A758&lt;&gt;"",$E758&lt;&gt;"",$A758&gt;=PeriodStart,$A758&lt;=PeriodEnd),$E758+ROW()/1000000,0),0)</f>
        <v>0</v>
      </c>
    </row>
    <row r="759" customFormat="false" ht="15" hidden="false" customHeight="false" outlineLevel="0" collapsed="false">
      <c r="A759" s="75"/>
      <c r="B759" s="76"/>
      <c r="C759" s="77"/>
      <c r="D759" s="77"/>
      <c r="E759" s="78"/>
      <c r="F759" s="77"/>
      <c r="G759" s="77"/>
      <c r="H759" s="79" t="n">
        <f aca="false">N(H758)+IFERROR(IF(AND($A759&lt;&gt;"",$E759&lt;&gt;"",$A759&gt;=IF(Search!$E$4="",0,Search!$E$4),$A759&lt;=IF(Search!$E$5="",99999,Search!$E$5),OR(Search!$E$6="",ISNUMBER(SEARCH(Search!$E$6,$C759))),OR(Search!$E$7="All",Search!$E$7="",$D759=Search!$E$7),OR(Search!$E$8="",Search!$E$9="",AND($B759&lt;&gt;"",MOD($B759,1)&gt;=Search!$E$8,MOD($B759,1)&lt;=Search!$E$9))),1,0),0)</f>
        <v>0</v>
      </c>
      <c r="I759" s="79" t="n">
        <f aca="false">IF(H759&gt;N(H758),$E759,0)</f>
        <v>0</v>
      </c>
      <c r="J759" s="79" t="n">
        <f aca="false">IFERROR(IF(AND($A759&lt;&gt;"",$E759&lt;&gt;"",$A759&gt;=PeriodStart,$A759&lt;=PeriodEnd),$E759+ROW()/1000000,0),0)</f>
        <v>0</v>
      </c>
    </row>
    <row r="760" customFormat="false" ht="15" hidden="false" customHeight="false" outlineLevel="0" collapsed="false">
      <c r="A760" s="75"/>
      <c r="B760" s="76"/>
      <c r="C760" s="77"/>
      <c r="D760" s="77"/>
      <c r="E760" s="78"/>
      <c r="F760" s="77"/>
      <c r="G760" s="77"/>
      <c r="H760" s="79" t="n">
        <f aca="false">N(H759)+IFERROR(IF(AND($A760&lt;&gt;"",$E760&lt;&gt;"",$A760&gt;=IF(Search!$E$4="",0,Search!$E$4),$A760&lt;=IF(Search!$E$5="",99999,Search!$E$5),OR(Search!$E$6="",ISNUMBER(SEARCH(Search!$E$6,$C760))),OR(Search!$E$7="All",Search!$E$7="",$D760=Search!$E$7),OR(Search!$E$8="",Search!$E$9="",AND($B760&lt;&gt;"",MOD($B760,1)&gt;=Search!$E$8,MOD($B760,1)&lt;=Search!$E$9))),1,0),0)</f>
        <v>0</v>
      </c>
      <c r="I760" s="79" t="n">
        <f aca="false">IF(H760&gt;N(H759),$E760,0)</f>
        <v>0</v>
      </c>
      <c r="J760" s="79" t="n">
        <f aca="false">IFERROR(IF(AND($A760&lt;&gt;"",$E760&lt;&gt;"",$A760&gt;=PeriodStart,$A760&lt;=PeriodEnd),$E760+ROW()/1000000,0),0)</f>
        <v>0</v>
      </c>
    </row>
    <row r="761" customFormat="false" ht="15" hidden="false" customHeight="false" outlineLevel="0" collapsed="false">
      <c r="A761" s="75"/>
      <c r="B761" s="76"/>
      <c r="C761" s="77"/>
      <c r="D761" s="77"/>
      <c r="E761" s="78"/>
      <c r="F761" s="77"/>
      <c r="G761" s="77"/>
      <c r="H761" s="79" t="n">
        <f aca="false">N(H760)+IFERROR(IF(AND($A761&lt;&gt;"",$E761&lt;&gt;"",$A761&gt;=IF(Search!$E$4="",0,Search!$E$4),$A761&lt;=IF(Search!$E$5="",99999,Search!$E$5),OR(Search!$E$6="",ISNUMBER(SEARCH(Search!$E$6,$C761))),OR(Search!$E$7="All",Search!$E$7="",$D761=Search!$E$7),OR(Search!$E$8="",Search!$E$9="",AND($B761&lt;&gt;"",MOD($B761,1)&gt;=Search!$E$8,MOD($B761,1)&lt;=Search!$E$9))),1,0),0)</f>
        <v>0</v>
      </c>
      <c r="I761" s="79" t="n">
        <f aca="false">IF(H761&gt;N(H760),$E761,0)</f>
        <v>0</v>
      </c>
      <c r="J761" s="79" t="n">
        <f aca="false">IFERROR(IF(AND($A761&lt;&gt;"",$E761&lt;&gt;"",$A761&gt;=PeriodStart,$A761&lt;=PeriodEnd),$E761+ROW()/1000000,0),0)</f>
        <v>0</v>
      </c>
    </row>
    <row r="762" customFormat="false" ht="15" hidden="false" customHeight="false" outlineLevel="0" collapsed="false">
      <c r="A762" s="75"/>
      <c r="B762" s="76"/>
      <c r="C762" s="77"/>
      <c r="D762" s="77"/>
      <c r="E762" s="78"/>
      <c r="F762" s="77"/>
      <c r="G762" s="77"/>
      <c r="H762" s="79" t="n">
        <f aca="false">N(H761)+IFERROR(IF(AND($A762&lt;&gt;"",$E762&lt;&gt;"",$A762&gt;=IF(Search!$E$4="",0,Search!$E$4),$A762&lt;=IF(Search!$E$5="",99999,Search!$E$5),OR(Search!$E$6="",ISNUMBER(SEARCH(Search!$E$6,$C762))),OR(Search!$E$7="All",Search!$E$7="",$D762=Search!$E$7),OR(Search!$E$8="",Search!$E$9="",AND($B762&lt;&gt;"",MOD($B762,1)&gt;=Search!$E$8,MOD($B762,1)&lt;=Search!$E$9))),1,0),0)</f>
        <v>0</v>
      </c>
      <c r="I762" s="79" t="n">
        <f aca="false">IF(H762&gt;N(H761),$E762,0)</f>
        <v>0</v>
      </c>
      <c r="J762" s="79" t="n">
        <f aca="false">IFERROR(IF(AND($A762&lt;&gt;"",$E762&lt;&gt;"",$A762&gt;=PeriodStart,$A762&lt;=PeriodEnd),$E762+ROW()/1000000,0),0)</f>
        <v>0</v>
      </c>
    </row>
    <row r="763" customFormat="false" ht="15" hidden="false" customHeight="false" outlineLevel="0" collapsed="false">
      <c r="A763" s="75"/>
      <c r="B763" s="76"/>
      <c r="C763" s="77"/>
      <c r="D763" s="77"/>
      <c r="E763" s="78"/>
      <c r="F763" s="77"/>
      <c r="G763" s="77"/>
      <c r="H763" s="79" t="n">
        <f aca="false">N(H762)+IFERROR(IF(AND($A763&lt;&gt;"",$E763&lt;&gt;"",$A763&gt;=IF(Search!$E$4="",0,Search!$E$4),$A763&lt;=IF(Search!$E$5="",99999,Search!$E$5),OR(Search!$E$6="",ISNUMBER(SEARCH(Search!$E$6,$C763))),OR(Search!$E$7="All",Search!$E$7="",$D763=Search!$E$7),OR(Search!$E$8="",Search!$E$9="",AND($B763&lt;&gt;"",MOD($B763,1)&gt;=Search!$E$8,MOD($B763,1)&lt;=Search!$E$9))),1,0),0)</f>
        <v>0</v>
      </c>
      <c r="I763" s="79" t="n">
        <f aca="false">IF(H763&gt;N(H762),$E763,0)</f>
        <v>0</v>
      </c>
      <c r="J763" s="79" t="n">
        <f aca="false">IFERROR(IF(AND($A763&lt;&gt;"",$E763&lt;&gt;"",$A763&gt;=PeriodStart,$A763&lt;=PeriodEnd),$E763+ROW()/1000000,0),0)</f>
        <v>0</v>
      </c>
    </row>
    <row r="764" customFormat="false" ht="15" hidden="false" customHeight="false" outlineLevel="0" collapsed="false">
      <c r="A764" s="75"/>
      <c r="B764" s="76"/>
      <c r="C764" s="77"/>
      <c r="D764" s="77"/>
      <c r="E764" s="78"/>
      <c r="F764" s="77"/>
      <c r="G764" s="77"/>
      <c r="H764" s="79" t="n">
        <f aca="false">N(H763)+IFERROR(IF(AND($A764&lt;&gt;"",$E764&lt;&gt;"",$A764&gt;=IF(Search!$E$4="",0,Search!$E$4),$A764&lt;=IF(Search!$E$5="",99999,Search!$E$5),OR(Search!$E$6="",ISNUMBER(SEARCH(Search!$E$6,$C764))),OR(Search!$E$7="All",Search!$E$7="",$D764=Search!$E$7),OR(Search!$E$8="",Search!$E$9="",AND($B764&lt;&gt;"",MOD($B764,1)&gt;=Search!$E$8,MOD($B764,1)&lt;=Search!$E$9))),1,0),0)</f>
        <v>0</v>
      </c>
      <c r="I764" s="79" t="n">
        <f aca="false">IF(H764&gt;N(H763),$E764,0)</f>
        <v>0</v>
      </c>
      <c r="J764" s="79" t="n">
        <f aca="false">IFERROR(IF(AND($A764&lt;&gt;"",$E764&lt;&gt;"",$A764&gt;=PeriodStart,$A764&lt;=PeriodEnd),$E764+ROW()/1000000,0),0)</f>
        <v>0</v>
      </c>
    </row>
    <row r="765" customFormat="false" ht="15" hidden="false" customHeight="false" outlineLevel="0" collapsed="false">
      <c r="A765" s="75"/>
      <c r="B765" s="76"/>
      <c r="C765" s="77"/>
      <c r="D765" s="77"/>
      <c r="E765" s="78"/>
      <c r="F765" s="77"/>
      <c r="G765" s="77"/>
      <c r="H765" s="79" t="n">
        <f aca="false">N(H764)+IFERROR(IF(AND($A765&lt;&gt;"",$E765&lt;&gt;"",$A765&gt;=IF(Search!$E$4="",0,Search!$E$4),$A765&lt;=IF(Search!$E$5="",99999,Search!$E$5),OR(Search!$E$6="",ISNUMBER(SEARCH(Search!$E$6,$C765))),OR(Search!$E$7="All",Search!$E$7="",$D765=Search!$E$7),OR(Search!$E$8="",Search!$E$9="",AND($B765&lt;&gt;"",MOD($B765,1)&gt;=Search!$E$8,MOD($B765,1)&lt;=Search!$E$9))),1,0),0)</f>
        <v>0</v>
      </c>
      <c r="I765" s="79" t="n">
        <f aca="false">IF(H765&gt;N(H764),$E765,0)</f>
        <v>0</v>
      </c>
      <c r="J765" s="79" t="n">
        <f aca="false">IFERROR(IF(AND($A765&lt;&gt;"",$E765&lt;&gt;"",$A765&gt;=PeriodStart,$A765&lt;=PeriodEnd),$E765+ROW()/1000000,0),0)</f>
        <v>0</v>
      </c>
    </row>
    <row r="766" customFormat="false" ht="15" hidden="false" customHeight="false" outlineLevel="0" collapsed="false">
      <c r="A766" s="75"/>
      <c r="B766" s="76"/>
      <c r="C766" s="77"/>
      <c r="D766" s="77"/>
      <c r="E766" s="78"/>
      <c r="F766" s="77"/>
      <c r="G766" s="77"/>
      <c r="H766" s="79" t="n">
        <f aca="false">N(H765)+IFERROR(IF(AND($A766&lt;&gt;"",$E766&lt;&gt;"",$A766&gt;=IF(Search!$E$4="",0,Search!$E$4),$A766&lt;=IF(Search!$E$5="",99999,Search!$E$5),OR(Search!$E$6="",ISNUMBER(SEARCH(Search!$E$6,$C766))),OR(Search!$E$7="All",Search!$E$7="",$D766=Search!$E$7),OR(Search!$E$8="",Search!$E$9="",AND($B766&lt;&gt;"",MOD($B766,1)&gt;=Search!$E$8,MOD($B766,1)&lt;=Search!$E$9))),1,0),0)</f>
        <v>0</v>
      </c>
      <c r="I766" s="79" t="n">
        <f aca="false">IF(H766&gt;N(H765),$E766,0)</f>
        <v>0</v>
      </c>
      <c r="J766" s="79" t="n">
        <f aca="false">IFERROR(IF(AND($A766&lt;&gt;"",$E766&lt;&gt;"",$A766&gt;=PeriodStart,$A766&lt;=PeriodEnd),$E766+ROW()/1000000,0),0)</f>
        <v>0</v>
      </c>
    </row>
    <row r="767" customFormat="false" ht="15" hidden="false" customHeight="false" outlineLevel="0" collapsed="false">
      <c r="A767" s="75"/>
      <c r="B767" s="76"/>
      <c r="C767" s="77"/>
      <c r="D767" s="77"/>
      <c r="E767" s="78"/>
      <c r="F767" s="77"/>
      <c r="G767" s="77"/>
      <c r="H767" s="79" t="n">
        <f aca="false">N(H766)+IFERROR(IF(AND($A767&lt;&gt;"",$E767&lt;&gt;"",$A767&gt;=IF(Search!$E$4="",0,Search!$E$4),$A767&lt;=IF(Search!$E$5="",99999,Search!$E$5),OR(Search!$E$6="",ISNUMBER(SEARCH(Search!$E$6,$C767))),OR(Search!$E$7="All",Search!$E$7="",$D767=Search!$E$7),OR(Search!$E$8="",Search!$E$9="",AND($B767&lt;&gt;"",MOD($B767,1)&gt;=Search!$E$8,MOD($B767,1)&lt;=Search!$E$9))),1,0),0)</f>
        <v>0</v>
      </c>
      <c r="I767" s="79" t="n">
        <f aca="false">IF(H767&gt;N(H766),$E767,0)</f>
        <v>0</v>
      </c>
      <c r="J767" s="79" t="n">
        <f aca="false">IFERROR(IF(AND($A767&lt;&gt;"",$E767&lt;&gt;"",$A767&gt;=PeriodStart,$A767&lt;=PeriodEnd),$E767+ROW()/1000000,0),0)</f>
        <v>0</v>
      </c>
    </row>
    <row r="768" customFormat="false" ht="15" hidden="false" customHeight="false" outlineLevel="0" collapsed="false">
      <c r="A768" s="75"/>
      <c r="B768" s="76"/>
      <c r="C768" s="77"/>
      <c r="D768" s="77"/>
      <c r="E768" s="78"/>
      <c r="F768" s="77"/>
      <c r="G768" s="77"/>
      <c r="H768" s="79" t="n">
        <f aca="false">N(H767)+IFERROR(IF(AND($A768&lt;&gt;"",$E768&lt;&gt;"",$A768&gt;=IF(Search!$E$4="",0,Search!$E$4),$A768&lt;=IF(Search!$E$5="",99999,Search!$E$5),OR(Search!$E$6="",ISNUMBER(SEARCH(Search!$E$6,$C768))),OR(Search!$E$7="All",Search!$E$7="",$D768=Search!$E$7),OR(Search!$E$8="",Search!$E$9="",AND($B768&lt;&gt;"",MOD($B768,1)&gt;=Search!$E$8,MOD($B768,1)&lt;=Search!$E$9))),1,0),0)</f>
        <v>0</v>
      </c>
      <c r="I768" s="79" t="n">
        <f aca="false">IF(H768&gt;N(H767),$E768,0)</f>
        <v>0</v>
      </c>
      <c r="J768" s="79" t="n">
        <f aca="false">IFERROR(IF(AND($A768&lt;&gt;"",$E768&lt;&gt;"",$A768&gt;=PeriodStart,$A768&lt;=PeriodEnd),$E768+ROW()/1000000,0),0)</f>
        <v>0</v>
      </c>
    </row>
    <row r="769" customFormat="false" ht="15" hidden="false" customHeight="false" outlineLevel="0" collapsed="false">
      <c r="A769" s="75"/>
      <c r="B769" s="76"/>
      <c r="C769" s="77"/>
      <c r="D769" s="77"/>
      <c r="E769" s="78"/>
      <c r="F769" s="77"/>
      <c r="G769" s="77"/>
      <c r="H769" s="79" t="n">
        <f aca="false">N(H768)+IFERROR(IF(AND($A769&lt;&gt;"",$E769&lt;&gt;"",$A769&gt;=IF(Search!$E$4="",0,Search!$E$4),$A769&lt;=IF(Search!$E$5="",99999,Search!$E$5),OR(Search!$E$6="",ISNUMBER(SEARCH(Search!$E$6,$C769))),OR(Search!$E$7="All",Search!$E$7="",$D769=Search!$E$7),OR(Search!$E$8="",Search!$E$9="",AND($B769&lt;&gt;"",MOD($B769,1)&gt;=Search!$E$8,MOD($B769,1)&lt;=Search!$E$9))),1,0),0)</f>
        <v>0</v>
      </c>
      <c r="I769" s="79" t="n">
        <f aca="false">IF(H769&gt;N(H768),$E769,0)</f>
        <v>0</v>
      </c>
      <c r="J769" s="79" t="n">
        <f aca="false">IFERROR(IF(AND($A769&lt;&gt;"",$E769&lt;&gt;"",$A769&gt;=PeriodStart,$A769&lt;=PeriodEnd),$E769+ROW()/1000000,0),0)</f>
        <v>0</v>
      </c>
    </row>
    <row r="770" customFormat="false" ht="15" hidden="false" customHeight="false" outlineLevel="0" collapsed="false">
      <c r="A770" s="75"/>
      <c r="B770" s="76"/>
      <c r="C770" s="77"/>
      <c r="D770" s="77"/>
      <c r="E770" s="78"/>
      <c r="F770" s="77"/>
      <c r="G770" s="77"/>
      <c r="H770" s="79" t="n">
        <f aca="false">N(H769)+IFERROR(IF(AND($A770&lt;&gt;"",$E770&lt;&gt;"",$A770&gt;=IF(Search!$E$4="",0,Search!$E$4),$A770&lt;=IF(Search!$E$5="",99999,Search!$E$5),OR(Search!$E$6="",ISNUMBER(SEARCH(Search!$E$6,$C770))),OR(Search!$E$7="All",Search!$E$7="",$D770=Search!$E$7),OR(Search!$E$8="",Search!$E$9="",AND($B770&lt;&gt;"",MOD($B770,1)&gt;=Search!$E$8,MOD($B770,1)&lt;=Search!$E$9))),1,0),0)</f>
        <v>0</v>
      </c>
      <c r="I770" s="79" t="n">
        <f aca="false">IF(H770&gt;N(H769),$E770,0)</f>
        <v>0</v>
      </c>
      <c r="J770" s="79" t="n">
        <f aca="false">IFERROR(IF(AND($A770&lt;&gt;"",$E770&lt;&gt;"",$A770&gt;=PeriodStart,$A770&lt;=PeriodEnd),$E770+ROW()/1000000,0),0)</f>
        <v>0</v>
      </c>
    </row>
    <row r="771" customFormat="false" ht="15" hidden="false" customHeight="false" outlineLevel="0" collapsed="false">
      <c r="A771" s="75"/>
      <c r="B771" s="76"/>
      <c r="C771" s="77"/>
      <c r="D771" s="77"/>
      <c r="E771" s="78"/>
      <c r="F771" s="77"/>
      <c r="G771" s="77"/>
      <c r="H771" s="79" t="n">
        <f aca="false">N(H770)+IFERROR(IF(AND($A771&lt;&gt;"",$E771&lt;&gt;"",$A771&gt;=IF(Search!$E$4="",0,Search!$E$4),$A771&lt;=IF(Search!$E$5="",99999,Search!$E$5),OR(Search!$E$6="",ISNUMBER(SEARCH(Search!$E$6,$C771))),OR(Search!$E$7="All",Search!$E$7="",$D771=Search!$E$7),OR(Search!$E$8="",Search!$E$9="",AND($B771&lt;&gt;"",MOD($B771,1)&gt;=Search!$E$8,MOD($B771,1)&lt;=Search!$E$9))),1,0),0)</f>
        <v>0</v>
      </c>
      <c r="I771" s="79" t="n">
        <f aca="false">IF(H771&gt;N(H770),$E771,0)</f>
        <v>0</v>
      </c>
      <c r="J771" s="79" t="n">
        <f aca="false">IFERROR(IF(AND($A771&lt;&gt;"",$E771&lt;&gt;"",$A771&gt;=PeriodStart,$A771&lt;=PeriodEnd),$E771+ROW()/1000000,0),0)</f>
        <v>0</v>
      </c>
    </row>
    <row r="772" customFormat="false" ht="15" hidden="false" customHeight="false" outlineLevel="0" collapsed="false">
      <c r="A772" s="75"/>
      <c r="B772" s="76"/>
      <c r="C772" s="77"/>
      <c r="D772" s="77"/>
      <c r="E772" s="78"/>
      <c r="F772" s="77"/>
      <c r="G772" s="77"/>
      <c r="H772" s="79" t="n">
        <f aca="false">N(H771)+IFERROR(IF(AND($A772&lt;&gt;"",$E772&lt;&gt;"",$A772&gt;=IF(Search!$E$4="",0,Search!$E$4),$A772&lt;=IF(Search!$E$5="",99999,Search!$E$5),OR(Search!$E$6="",ISNUMBER(SEARCH(Search!$E$6,$C772))),OR(Search!$E$7="All",Search!$E$7="",$D772=Search!$E$7),OR(Search!$E$8="",Search!$E$9="",AND($B772&lt;&gt;"",MOD($B772,1)&gt;=Search!$E$8,MOD($B772,1)&lt;=Search!$E$9))),1,0),0)</f>
        <v>0</v>
      </c>
      <c r="I772" s="79" t="n">
        <f aca="false">IF(H772&gt;N(H771),$E772,0)</f>
        <v>0</v>
      </c>
      <c r="J772" s="79" t="n">
        <f aca="false">IFERROR(IF(AND($A772&lt;&gt;"",$E772&lt;&gt;"",$A772&gt;=PeriodStart,$A772&lt;=PeriodEnd),$E772+ROW()/1000000,0),0)</f>
        <v>0</v>
      </c>
    </row>
    <row r="773" customFormat="false" ht="15" hidden="false" customHeight="false" outlineLevel="0" collapsed="false">
      <c r="A773" s="75"/>
      <c r="B773" s="76"/>
      <c r="C773" s="77"/>
      <c r="D773" s="77"/>
      <c r="E773" s="78"/>
      <c r="F773" s="77"/>
      <c r="G773" s="77"/>
      <c r="H773" s="79" t="n">
        <f aca="false">N(H772)+IFERROR(IF(AND($A773&lt;&gt;"",$E773&lt;&gt;"",$A773&gt;=IF(Search!$E$4="",0,Search!$E$4),$A773&lt;=IF(Search!$E$5="",99999,Search!$E$5),OR(Search!$E$6="",ISNUMBER(SEARCH(Search!$E$6,$C773))),OR(Search!$E$7="All",Search!$E$7="",$D773=Search!$E$7),OR(Search!$E$8="",Search!$E$9="",AND($B773&lt;&gt;"",MOD($B773,1)&gt;=Search!$E$8,MOD($B773,1)&lt;=Search!$E$9))),1,0),0)</f>
        <v>0</v>
      </c>
      <c r="I773" s="79" t="n">
        <f aca="false">IF(H773&gt;N(H772),$E773,0)</f>
        <v>0</v>
      </c>
      <c r="J773" s="79" t="n">
        <f aca="false">IFERROR(IF(AND($A773&lt;&gt;"",$E773&lt;&gt;"",$A773&gt;=PeriodStart,$A773&lt;=PeriodEnd),$E773+ROW()/1000000,0),0)</f>
        <v>0</v>
      </c>
    </row>
    <row r="774" customFormat="false" ht="15" hidden="false" customHeight="false" outlineLevel="0" collapsed="false">
      <c r="A774" s="75"/>
      <c r="B774" s="76"/>
      <c r="C774" s="77"/>
      <c r="D774" s="77"/>
      <c r="E774" s="78"/>
      <c r="F774" s="77"/>
      <c r="G774" s="77"/>
      <c r="H774" s="79" t="n">
        <f aca="false">N(H773)+IFERROR(IF(AND($A774&lt;&gt;"",$E774&lt;&gt;"",$A774&gt;=IF(Search!$E$4="",0,Search!$E$4),$A774&lt;=IF(Search!$E$5="",99999,Search!$E$5),OR(Search!$E$6="",ISNUMBER(SEARCH(Search!$E$6,$C774))),OR(Search!$E$7="All",Search!$E$7="",$D774=Search!$E$7),OR(Search!$E$8="",Search!$E$9="",AND($B774&lt;&gt;"",MOD($B774,1)&gt;=Search!$E$8,MOD($B774,1)&lt;=Search!$E$9))),1,0),0)</f>
        <v>0</v>
      </c>
      <c r="I774" s="79" t="n">
        <f aca="false">IF(H774&gt;N(H773),$E774,0)</f>
        <v>0</v>
      </c>
      <c r="J774" s="79" t="n">
        <f aca="false">IFERROR(IF(AND($A774&lt;&gt;"",$E774&lt;&gt;"",$A774&gt;=PeriodStart,$A774&lt;=PeriodEnd),$E774+ROW()/1000000,0),0)</f>
        <v>0</v>
      </c>
    </row>
    <row r="775" customFormat="false" ht="15" hidden="false" customHeight="false" outlineLevel="0" collapsed="false">
      <c r="A775" s="75"/>
      <c r="B775" s="76"/>
      <c r="C775" s="77"/>
      <c r="D775" s="77"/>
      <c r="E775" s="78"/>
      <c r="F775" s="77"/>
      <c r="G775" s="77"/>
      <c r="H775" s="79" t="n">
        <f aca="false">N(H774)+IFERROR(IF(AND($A775&lt;&gt;"",$E775&lt;&gt;"",$A775&gt;=IF(Search!$E$4="",0,Search!$E$4),$A775&lt;=IF(Search!$E$5="",99999,Search!$E$5),OR(Search!$E$6="",ISNUMBER(SEARCH(Search!$E$6,$C775))),OR(Search!$E$7="All",Search!$E$7="",$D775=Search!$E$7),OR(Search!$E$8="",Search!$E$9="",AND($B775&lt;&gt;"",MOD($B775,1)&gt;=Search!$E$8,MOD($B775,1)&lt;=Search!$E$9))),1,0),0)</f>
        <v>0</v>
      </c>
      <c r="I775" s="79" t="n">
        <f aca="false">IF(H775&gt;N(H774),$E775,0)</f>
        <v>0</v>
      </c>
      <c r="J775" s="79" t="n">
        <f aca="false">IFERROR(IF(AND($A775&lt;&gt;"",$E775&lt;&gt;"",$A775&gt;=PeriodStart,$A775&lt;=PeriodEnd),$E775+ROW()/1000000,0),0)</f>
        <v>0</v>
      </c>
    </row>
    <row r="776" customFormat="false" ht="15" hidden="false" customHeight="false" outlineLevel="0" collapsed="false">
      <c r="A776" s="75"/>
      <c r="B776" s="76"/>
      <c r="C776" s="77"/>
      <c r="D776" s="77"/>
      <c r="E776" s="78"/>
      <c r="F776" s="77"/>
      <c r="G776" s="77"/>
      <c r="H776" s="79" t="n">
        <f aca="false">N(H775)+IFERROR(IF(AND($A776&lt;&gt;"",$E776&lt;&gt;"",$A776&gt;=IF(Search!$E$4="",0,Search!$E$4),$A776&lt;=IF(Search!$E$5="",99999,Search!$E$5),OR(Search!$E$6="",ISNUMBER(SEARCH(Search!$E$6,$C776))),OR(Search!$E$7="All",Search!$E$7="",$D776=Search!$E$7),OR(Search!$E$8="",Search!$E$9="",AND($B776&lt;&gt;"",MOD($B776,1)&gt;=Search!$E$8,MOD($B776,1)&lt;=Search!$E$9))),1,0),0)</f>
        <v>0</v>
      </c>
      <c r="I776" s="79" t="n">
        <f aca="false">IF(H776&gt;N(H775),$E776,0)</f>
        <v>0</v>
      </c>
      <c r="J776" s="79" t="n">
        <f aca="false">IFERROR(IF(AND($A776&lt;&gt;"",$E776&lt;&gt;"",$A776&gt;=PeriodStart,$A776&lt;=PeriodEnd),$E776+ROW()/1000000,0),0)</f>
        <v>0</v>
      </c>
    </row>
    <row r="777" customFormat="false" ht="15" hidden="false" customHeight="false" outlineLevel="0" collapsed="false">
      <c r="A777" s="75"/>
      <c r="B777" s="76"/>
      <c r="C777" s="77"/>
      <c r="D777" s="77"/>
      <c r="E777" s="78"/>
      <c r="F777" s="77"/>
      <c r="G777" s="77"/>
      <c r="H777" s="79" t="n">
        <f aca="false">N(H776)+IFERROR(IF(AND($A777&lt;&gt;"",$E777&lt;&gt;"",$A777&gt;=IF(Search!$E$4="",0,Search!$E$4),$A777&lt;=IF(Search!$E$5="",99999,Search!$E$5),OR(Search!$E$6="",ISNUMBER(SEARCH(Search!$E$6,$C777))),OR(Search!$E$7="All",Search!$E$7="",$D777=Search!$E$7),OR(Search!$E$8="",Search!$E$9="",AND($B777&lt;&gt;"",MOD($B777,1)&gt;=Search!$E$8,MOD($B777,1)&lt;=Search!$E$9))),1,0),0)</f>
        <v>0</v>
      </c>
      <c r="I777" s="79" t="n">
        <f aca="false">IF(H777&gt;N(H776),$E777,0)</f>
        <v>0</v>
      </c>
      <c r="J777" s="79" t="n">
        <f aca="false">IFERROR(IF(AND($A777&lt;&gt;"",$E777&lt;&gt;"",$A777&gt;=PeriodStart,$A777&lt;=PeriodEnd),$E777+ROW()/1000000,0),0)</f>
        <v>0</v>
      </c>
    </row>
    <row r="778" customFormat="false" ht="15" hidden="false" customHeight="false" outlineLevel="0" collapsed="false">
      <c r="A778" s="75"/>
      <c r="B778" s="76"/>
      <c r="C778" s="77"/>
      <c r="D778" s="77"/>
      <c r="E778" s="78"/>
      <c r="F778" s="77"/>
      <c r="G778" s="77"/>
      <c r="H778" s="79" t="n">
        <f aca="false">N(H777)+IFERROR(IF(AND($A778&lt;&gt;"",$E778&lt;&gt;"",$A778&gt;=IF(Search!$E$4="",0,Search!$E$4),$A778&lt;=IF(Search!$E$5="",99999,Search!$E$5),OR(Search!$E$6="",ISNUMBER(SEARCH(Search!$E$6,$C778))),OR(Search!$E$7="All",Search!$E$7="",$D778=Search!$E$7),OR(Search!$E$8="",Search!$E$9="",AND($B778&lt;&gt;"",MOD($B778,1)&gt;=Search!$E$8,MOD($B778,1)&lt;=Search!$E$9))),1,0),0)</f>
        <v>0</v>
      </c>
      <c r="I778" s="79" t="n">
        <f aca="false">IF(H778&gt;N(H777),$E778,0)</f>
        <v>0</v>
      </c>
      <c r="J778" s="79" t="n">
        <f aca="false">IFERROR(IF(AND($A778&lt;&gt;"",$E778&lt;&gt;"",$A778&gt;=PeriodStart,$A778&lt;=PeriodEnd),$E778+ROW()/1000000,0),0)</f>
        <v>0</v>
      </c>
    </row>
    <row r="779" customFormat="false" ht="15" hidden="false" customHeight="false" outlineLevel="0" collapsed="false">
      <c r="A779" s="75"/>
      <c r="B779" s="76"/>
      <c r="C779" s="77"/>
      <c r="D779" s="77"/>
      <c r="E779" s="78"/>
      <c r="F779" s="77"/>
      <c r="G779" s="77"/>
      <c r="H779" s="79" t="n">
        <f aca="false">N(H778)+IFERROR(IF(AND($A779&lt;&gt;"",$E779&lt;&gt;"",$A779&gt;=IF(Search!$E$4="",0,Search!$E$4),$A779&lt;=IF(Search!$E$5="",99999,Search!$E$5),OR(Search!$E$6="",ISNUMBER(SEARCH(Search!$E$6,$C779))),OR(Search!$E$7="All",Search!$E$7="",$D779=Search!$E$7),OR(Search!$E$8="",Search!$E$9="",AND($B779&lt;&gt;"",MOD($B779,1)&gt;=Search!$E$8,MOD($B779,1)&lt;=Search!$E$9))),1,0),0)</f>
        <v>0</v>
      </c>
      <c r="I779" s="79" t="n">
        <f aca="false">IF(H779&gt;N(H778),$E779,0)</f>
        <v>0</v>
      </c>
      <c r="J779" s="79" t="n">
        <f aca="false">IFERROR(IF(AND($A779&lt;&gt;"",$E779&lt;&gt;"",$A779&gt;=PeriodStart,$A779&lt;=PeriodEnd),$E779+ROW()/1000000,0),0)</f>
        <v>0</v>
      </c>
    </row>
    <row r="780" customFormat="false" ht="15" hidden="false" customHeight="false" outlineLevel="0" collapsed="false">
      <c r="A780" s="75"/>
      <c r="B780" s="76"/>
      <c r="C780" s="77"/>
      <c r="D780" s="77"/>
      <c r="E780" s="78"/>
      <c r="F780" s="77"/>
      <c r="G780" s="77"/>
      <c r="H780" s="79" t="n">
        <f aca="false">N(H779)+IFERROR(IF(AND($A780&lt;&gt;"",$E780&lt;&gt;"",$A780&gt;=IF(Search!$E$4="",0,Search!$E$4),$A780&lt;=IF(Search!$E$5="",99999,Search!$E$5),OR(Search!$E$6="",ISNUMBER(SEARCH(Search!$E$6,$C780))),OR(Search!$E$7="All",Search!$E$7="",$D780=Search!$E$7),OR(Search!$E$8="",Search!$E$9="",AND($B780&lt;&gt;"",MOD($B780,1)&gt;=Search!$E$8,MOD($B780,1)&lt;=Search!$E$9))),1,0),0)</f>
        <v>0</v>
      </c>
      <c r="I780" s="79" t="n">
        <f aca="false">IF(H780&gt;N(H779),$E780,0)</f>
        <v>0</v>
      </c>
      <c r="J780" s="79" t="n">
        <f aca="false">IFERROR(IF(AND($A780&lt;&gt;"",$E780&lt;&gt;"",$A780&gt;=PeriodStart,$A780&lt;=PeriodEnd),$E780+ROW()/1000000,0),0)</f>
        <v>0</v>
      </c>
    </row>
    <row r="781" customFormat="false" ht="15" hidden="false" customHeight="false" outlineLevel="0" collapsed="false">
      <c r="A781" s="75"/>
      <c r="B781" s="76"/>
      <c r="C781" s="77"/>
      <c r="D781" s="77"/>
      <c r="E781" s="78"/>
      <c r="F781" s="77"/>
      <c r="G781" s="77"/>
      <c r="H781" s="79" t="n">
        <f aca="false">N(H780)+IFERROR(IF(AND($A781&lt;&gt;"",$E781&lt;&gt;"",$A781&gt;=IF(Search!$E$4="",0,Search!$E$4),$A781&lt;=IF(Search!$E$5="",99999,Search!$E$5),OR(Search!$E$6="",ISNUMBER(SEARCH(Search!$E$6,$C781))),OR(Search!$E$7="All",Search!$E$7="",$D781=Search!$E$7),OR(Search!$E$8="",Search!$E$9="",AND($B781&lt;&gt;"",MOD($B781,1)&gt;=Search!$E$8,MOD($B781,1)&lt;=Search!$E$9))),1,0),0)</f>
        <v>0</v>
      </c>
      <c r="I781" s="79" t="n">
        <f aca="false">IF(H781&gt;N(H780),$E781,0)</f>
        <v>0</v>
      </c>
      <c r="J781" s="79" t="n">
        <f aca="false">IFERROR(IF(AND($A781&lt;&gt;"",$E781&lt;&gt;"",$A781&gt;=PeriodStart,$A781&lt;=PeriodEnd),$E781+ROW()/1000000,0),0)</f>
        <v>0</v>
      </c>
    </row>
    <row r="782" customFormat="false" ht="15" hidden="false" customHeight="false" outlineLevel="0" collapsed="false">
      <c r="A782" s="75"/>
      <c r="B782" s="76"/>
      <c r="C782" s="77"/>
      <c r="D782" s="77"/>
      <c r="E782" s="78"/>
      <c r="F782" s="77"/>
      <c r="G782" s="77"/>
      <c r="H782" s="79" t="n">
        <f aca="false">N(H781)+IFERROR(IF(AND($A782&lt;&gt;"",$E782&lt;&gt;"",$A782&gt;=IF(Search!$E$4="",0,Search!$E$4),$A782&lt;=IF(Search!$E$5="",99999,Search!$E$5),OR(Search!$E$6="",ISNUMBER(SEARCH(Search!$E$6,$C782))),OR(Search!$E$7="All",Search!$E$7="",$D782=Search!$E$7),OR(Search!$E$8="",Search!$E$9="",AND($B782&lt;&gt;"",MOD($B782,1)&gt;=Search!$E$8,MOD($B782,1)&lt;=Search!$E$9))),1,0),0)</f>
        <v>0</v>
      </c>
      <c r="I782" s="79" t="n">
        <f aca="false">IF(H782&gt;N(H781),$E782,0)</f>
        <v>0</v>
      </c>
      <c r="J782" s="79" t="n">
        <f aca="false">IFERROR(IF(AND($A782&lt;&gt;"",$E782&lt;&gt;"",$A782&gt;=PeriodStart,$A782&lt;=PeriodEnd),$E782+ROW()/1000000,0),0)</f>
        <v>0</v>
      </c>
    </row>
    <row r="783" customFormat="false" ht="15" hidden="false" customHeight="false" outlineLevel="0" collapsed="false">
      <c r="A783" s="75"/>
      <c r="B783" s="76"/>
      <c r="C783" s="77"/>
      <c r="D783" s="77"/>
      <c r="E783" s="78"/>
      <c r="F783" s="77"/>
      <c r="G783" s="77"/>
      <c r="H783" s="79" t="n">
        <f aca="false">N(H782)+IFERROR(IF(AND($A783&lt;&gt;"",$E783&lt;&gt;"",$A783&gt;=IF(Search!$E$4="",0,Search!$E$4),$A783&lt;=IF(Search!$E$5="",99999,Search!$E$5),OR(Search!$E$6="",ISNUMBER(SEARCH(Search!$E$6,$C783))),OR(Search!$E$7="All",Search!$E$7="",$D783=Search!$E$7),OR(Search!$E$8="",Search!$E$9="",AND($B783&lt;&gt;"",MOD($B783,1)&gt;=Search!$E$8,MOD($B783,1)&lt;=Search!$E$9))),1,0),0)</f>
        <v>0</v>
      </c>
      <c r="I783" s="79" t="n">
        <f aca="false">IF(H783&gt;N(H782),$E783,0)</f>
        <v>0</v>
      </c>
      <c r="J783" s="79" t="n">
        <f aca="false">IFERROR(IF(AND($A783&lt;&gt;"",$E783&lt;&gt;"",$A783&gt;=PeriodStart,$A783&lt;=PeriodEnd),$E783+ROW()/1000000,0),0)</f>
        <v>0</v>
      </c>
    </row>
    <row r="784" customFormat="false" ht="15" hidden="false" customHeight="false" outlineLevel="0" collapsed="false">
      <c r="A784" s="75"/>
      <c r="B784" s="76"/>
      <c r="C784" s="77"/>
      <c r="D784" s="77"/>
      <c r="E784" s="78"/>
      <c r="F784" s="77"/>
      <c r="G784" s="77"/>
      <c r="H784" s="79" t="n">
        <f aca="false">N(H783)+IFERROR(IF(AND($A784&lt;&gt;"",$E784&lt;&gt;"",$A784&gt;=IF(Search!$E$4="",0,Search!$E$4),$A784&lt;=IF(Search!$E$5="",99999,Search!$E$5),OR(Search!$E$6="",ISNUMBER(SEARCH(Search!$E$6,$C784))),OR(Search!$E$7="All",Search!$E$7="",$D784=Search!$E$7),OR(Search!$E$8="",Search!$E$9="",AND($B784&lt;&gt;"",MOD($B784,1)&gt;=Search!$E$8,MOD($B784,1)&lt;=Search!$E$9))),1,0),0)</f>
        <v>0</v>
      </c>
      <c r="I784" s="79" t="n">
        <f aca="false">IF(H784&gt;N(H783),$E784,0)</f>
        <v>0</v>
      </c>
      <c r="J784" s="79" t="n">
        <f aca="false">IFERROR(IF(AND($A784&lt;&gt;"",$E784&lt;&gt;"",$A784&gt;=PeriodStart,$A784&lt;=PeriodEnd),$E784+ROW()/1000000,0),0)</f>
        <v>0</v>
      </c>
    </row>
    <row r="785" customFormat="false" ht="15" hidden="false" customHeight="false" outlineLevel="0" collapsed="false">
      <c r="A785" s="75"/>
      <c r="B785" s="76"/>
      <c r="C785" s="77"/>
      <c r="D785" s="77"/>
      <c r="E785" s="78"/>
      <c r="F785" s="77"/>
      <c r="G785" s="77"/>
      <c r="H785" s="79" t="n">
        <f aca="false">N(H784)+IFERROR(IF(AND($A785&lt;&gt;"",$E785&lt;&gt;"",$A785&gt;=IF(Search!$E$4="",0,Search!$E$4),$A785&lt;=IF(Search!$E$5="",99999,Search!$E$5),OR(Search!$E$6="",ISNUMBER(SEARCH(Search!$E$6,$C785))),OR(Search!$E$7="All",Search!$E$7="",$D785=Search!$E$7),OR(Search!$E$8="",Search!$E$9="",AND($B785&lt;&gt;"",MOD($B785,1)&gt;=Search!$E$8,MOD($B785,1)&lt;=Search!$E$9))),1,0),0)</f>
        <v>0</v>
      </c>
      <c r="I785" s="79" t="n">
        <f aca="false">IF(H785&gt;N(H784),$E785,0)</f>
        <v>0</v>
      </c>
      <c r="J785" s="79" t="n">
        <f aca="false">IFERROR(IF(AND($A785&lt;&gt;"",$E785&lt;&gt;"",$A785&gt;=PeriodStart,$A785&lt;=PeriodEnd),$E785+ROW()/1000000,0),0)</f>
        <v>0</v>
      </c>
    </row>
    <row r="786" customFormat="false" ht="15" hidden="false" customHeight="false" outlineLevel="0" collapsed="false">
      <c r="A786" s="75"/>
      <c r="B786" s="76"/>
      <c r="C786" s="77"/>
      <c r="D786" s="77"/>
      <c r="E786" s="78"/>
      <c r="F786" s="77"/>
      <c r="G786" s="77"/>
      <c r="H786" s="79" t="n">
        <f aca="false">N(H785)+IFERROR(IF(AND($A786&lt;&gt;"",$E786&lt;&gt;"",$A786&gt;=IF(Search!$E$4="",0,Search!$E$4),$A786&lt;=IF(Search!$E$5="",99999,Search!$E$5),OR(Search!$E$6="",ISNUMBER(SEARCH(Search!$E$6,$C786))),OR(Search!$E$7="All",Search!$E$7="",$D786=Search!$E$7),OR(Search!$E$8="",Search!$E$9="",AND($B786&lt;&gt;"",MOD($B786,1)&gt;=Search!$E$8,MOD($B786,1)&lt;=Search!$E$9))),1,0),0)</f>
        <v>0</v>
      </c>
      <c r="I786" s="79" t="n">
        <f aca="false">IF(H786&gt;N(H785),$E786,0)</f>
        <v>0</v>
      </c>
      <c r="J786" s="79" t="n">
        <f aca="false">IFERROR(IF(AND($A786&lt;&gt;"",$E786&lt;&gt;"",$A786&gt;=PeriodStart,$A786&lt;=PeriodEnd),$E786+ROW()/1000000,0),0)</f>
        <v>0</v>
      </c>
    </row>
    <row r="787" customFormat="false" ht="15" hidden="false" customHeight="false" outlineLevel="0" collapsed="false">
      <c r="A787" s="75"/>
      <c r="B787" s="76"/>
      <c r="C787" s="77"/>
      <c r="D787" s="77"/>
      <c r="E787" s="78"/>
      <c r="F787" s="77"/>
      <c r="G787" s="77"/>
      <c r="H787" s="79" t="n">
        <f aca="false">N(H786)+IFERROR(IF(AND($A787&lt;&gt;"",$E787&lt;&gt;"",$A787&gt;=IF(Search!$E$4="",0,Search!$E$4),$A787&lt;=IF(Search!$E$5="",99999,Search!$E$5),OR(Search!$E$6="",ISNUMBER(SEARCH(Search!$E$6,$C787))),OR(Search!$E$7="All",Search!$E$7="",$D787=Search!$E$7),OR(Search!$E$8="",Search!$E$9="",AND($B787&lt;&gt;"",MOD($B787,1)&gt;=Search!$E$8,MOD($B787,1)&lt;=Search!$E$9))),1,0),0)</f>
        <v>0</v>
      </c>
      <c r="I787" s="79" t="n">
        <f aca="false">IF(H787&gt;N(H786),$E787,0)</f>
        <v>0</v>
      </c>
      <c r="J787" s="79" t="n">
        <f aca="false">IFERROR(IF(AND($A787&lt;&gt;"",$E787&lt;&gt;"",$A787&gt;=PeriodStart,$A787&lt;=PeriodEnd),$E787+ROW()/1000000,0),0)</f>
        <v>0</v>
      </c>
    </row>
    <row r="788" customFormat="false" ht="15" hidden="false" customHeight="false" outlineLevel="0" collapsed="false">
      <c r="A788" s="75"/>
      <c r="B788" s="76"/>
      <c r="C788" s="77"/>
      <c r="D788" s="77"/>
      <c r="E788" s="78"/>
      <c r="F788" s="77"/>
      <c r="G788" s="77"/>
      <c r="H788" s="79" t="n">
        <f aca="false">N(H787)+IFERROR(IF(AND($A788&lt;&gt;"",$E788&lt;&gt;"",$A788&gt;=IF(Search!$E$4="",0,Search!$E$4),$A788&lt;=IF(Search!$E$5="",99999,Search!$E$5),OR(Search!$E$6="",ISNUMBER(SEARCH(Search!$E$6,$C788))),OR(Search!$E$7="All",Search!$E$7="",$D788=Search!$E$7),OR(Search!$E$8="",Search!$E$9="",AND($B788&lt;&gt;"",MOD($B788,1)&gt;=Search!$E$8,MOD($B788,1)&lt;=Search!$E$9))),1,0),0)</f>
        <v>0</v>
      </c>
      <c r="I788" s="79" t="n">
        <f aca="false">IF(H788&gt;N(H787),$E788,0)</f>
        <v>0</v>
      </c>
      <c r="J788" s="79" t="n">
        <f aca="false">IFERROR(IF(AND($A788&lt;&gt;"",$E788&lt;&gt;"",$A788&gt;=PeriodStart,$A788&lt;=PeriodEnd),$E788+ROW()/1000000,0),0)</f>
        <v>0</v>
      </c>
    </row>
    <row r="789" customFormat="false" ht="15" hidden="false" customHeight="false" outlineLevel="0" collapsed="false">
      <c r="A789" s="75"/>
      <c r="B789" s="76"/>
      <c r="C789" s="77"/>
      <c r="D789" s="77"/>
      <c r="E789" s="78"/>
      <c r="F789" s="77"/>
      <c r="G789" s="77"/>
      <c r="H789" s="79" t="n">
        <f aca="false">N(H788)+IFERROR(IF(AND($A789&lt;&gt;"",$E789&lt;&gt;"",$A789&gt;=IF(Search!$E$4="",0,Search!$E$4),$A789&lt;=IF(Search!$E$5="",99999,Search!$E$5),OR(Search!$E$6="",ISNUMBER(SEARCH(Search!$E$6,$C789))),OR(Search!$E$7="All",Search!$E$7="",$D789=Search!$E$7),OR(Search!$E$8="",Search!$E$9="",AND($B789&lt;&gt;"",MOD($B789,1)&gt;=Search!$E$8,MOD($B789,1)&lt;=Search!$E$9))),1,0),0)</f>
        <v>0</v>
      </c>
      <c r="I789" s="79" t="n">
        <f aca="false">IF(H789&gt;N(H788),$E789,0)</f>
        <v>0</v>
      </c>
      <c r="J789" s="79" t="n">
        <f aca="false">IFERROR(IF(AND($A789&lt;&gt;"",$E789&lt;&gt;"",$A789&gt;=PeriodStart,$A789&lt;=PeriodEnd),$E789+ROW()/1000000,0),0)</f>
        <v>0</v>
      </c>
    </row>
    <row r="790" customFormat="false" ht="15" hidden="false" customHeight="false" outlineLevel="0" collapsed="false">
      <c r="A790" s="75"/>
      <c r="B790" s="76"/>
      <c r="C790" s="77"/>
      <c r="D790" s="77"/>
      <c r="E790" s="78"/>
      <c r="F790" s="77"/>
      <c r="G790" s="77"/>
      <c r="H790" s="79" t="n">
        <f aca="false">N(H789)+IFERROR(IF(AND($A790&lt;&gt;"",$E790&lt;&gt;"",$A790&gt;=IF(Search!$E$4="",0,Search!$E$4),$A790&lt;=IF(Search!$E$5="",99999,Search!$E$5),OR(Search!$E$6="",ISNUMBER(SEARCH(Search!$E$6,$C790))),OR(Search!$E$7="All",Search!$E$7="",$D790=Search!$E$7),OR(Search!$E$8="",Search!$E$9="",AND($B790&lt;&gt;"",MOD($B790,1)&gt;=Search!$E$8,MOD($B790,1)&lt;=Search!$E$9))),1,0),0)</f>
        <v>0</v>
      </c>
      <c r="I790" s="79" t="n">
        <f aca="false">IF(H790&gt;N(H789),$E790,0)</f>
        <v>0</v>
      </c>
      <c r="J790" s="79" t="n">
        <f aca="false">IFERROR(IF(AND($A790&lt;&gt;"",$E790&lt;&gt;"",$A790&gt;=PeriodStart,$A790&lt;=PeriodEnd),$E790+ROW()/1000000,0),0)</f>
        <v>0</v>
      </c>
    </row>
    <row r="791" customFormat="false" ht="15" hidden="false" customHeight="false" outlineLevel="0" collapsed="false">
      <c r="A791" s="75"/>
      <c r="B791" s="76"/>
      <c r="C791" s="77"/>
      <c r="D791" s="77"/>
      <c r="E791" s="78"/>
      <c r="F791" s="77"/>
      <c r="G791" s="77"/>
      <c r="H791" s="79" t="n">
        <f aca="false">N(H790)+IFERROR(IF(AND($A791&lt;&gt;"",$E791&lt;&gt;"",$A791&gt;=IF(Search!$E$4="",0,Search!$E$4),$A791&lt;=IF(Search!$E$5="",99999,Search!$E$5),OR(Search!$E$6="",ISNUMBER(SEARCH(Search!$E$6,$C791))),OR(Search!$E$7="All",Search!$E$7="",$D791=Search!$E$7),OR(Search!$E$8="",Search!$E$9="",AND($B791&lt;&gt;"",MOD($B791,1)&gt;=Search!$E$8,MOD($B791,1)&lt;=Search!$E$9))),1,0),0)</f>
        <v>0</v>
      </c>
      <c r="I791" s="79" t="n">
        <f aca="false">IF(H791&gt;N(H790),$E791,0)</f>
        <v>0</v>
      </c>
      <c r="J791" s="79" t="n">
        <f aca="false">IFERROR(IF(AND($A791&lt;&gt;"",$E791&lt;&gt;"",$A791&gt;=PeriodStart,$A791&lt;=PeriodEnd),$E791+ROW()/1000000,0),0)</f>
        <v>0</v>
      </c>
    </row>
    <row r="792" customFormat="false" ht="15" hidden="false" customHeight="false" outlineLevel="0" collapsed="false">
      <c r="A792" s="75"/>
      <c r="B792" s="76"/>
      <c r="C792" s="77"/>
      <c r="D792" s="77"/>
      <c r="E792" s="78"/>
      <c r="F792" s="77"/>
      <c r="G792" s="77"/>
      <c r="H792" s="79" t="n">
        <f aca="false">N(H791)+IFERROR(IF(AND($A792&lt;&gt;"",$E792&lt;&gt;"",$A792&gt;=IF(Search!$E$4="",0,Search!$E$4),$A792&lt;=IF(Search!$E$5="",99999,Search!$E$5),OR(Search!$E$6="",ISNUMBER(SEARCH(Search!$E$6,$C792))),OR(Search!$E$7="All",Search!$E$7="",$D792=Search!$E$7),OR(Search!$E$8="",Search!$E$9="",AND($B792&lt;&gt;"",MOD($B792,1)&gt;=Search!$E$8,MOD($B792,1)&lt;=Search!$E$9))),1,0),0)</f>
        <v>0</v>
      </c>
      <c r="I792" s="79" t="n">
        <f aca="false">IF(H792&gt;N(H791),$E792,0)</f>
        <v>0</v>
      </c>
      <c r="J792" s="79" t="n">
        <f aca="false">IFERROR(IF(AND($A792&lt;&gt;"",$E792&lt;&gt;"",$A792&gt;=PeriodStart,$A792&lt;=PeriodEnd),$E792+ROW()/1000000,0),0)</f>
        <v>0</v>
      </c>
    </row>
    <row r="793" customFormat="false" ht="15" hidden="false" customHeight="false" outlineLevel="0" collapsed="false">
      <c r="A793" s="75"/>
      <c r="B793" s="76"/>
      <c r="C793" s="77"/>
      <c r="D793" s="77"/>
      <c r="E793" s="78"/>
      <c r="F793" s="77"/>
      <c r="G793" s="77"/>
      <c r="H793" s="79" t="n">
        <f aca="false">N(H792)+IFERROR(IF(AND($A793&lt;&gt;"",$E793&lt;&gt;"",$A793&gt;=IF(Search!$E$4="",0,Search!$E$4),$A793&lt;=IF(Search!$E$5="",99999,Search!$E$5),OR(Search!$E$6="",ISNUMBER(SEARCH(Search!$E$6,$C793))),OR(Search!$E$7="All",Search!$E$7="",$D793=Search!$E$7),OR(Search!$E$8="",Search!$E$9="",AND($B793&lt;&gt;"",MOD($B793,1)&gt;=Search!$E$8,MOD($B793,1)&lt;=Search!$E$9))),1,0),0)</f>
        <v>0</v>
      </c>
      <c r="I793" s="79" t="n">
        <f aca="false">IF(H793&gt;N(H792),$E793,0)</f>
        <v>0</v>
      </c>
      <c r="J793" s="79" t="n">
        <f aca="false">IFERROR(IF(AND($A793&lt;&gt;"",$E793&lt;&gt;"",$A793&gt;=PeriodStart,$A793&lt;=PeriodEnd),$E793+ROW()/1000000,0),0)</f>
        <v>0</v>
      </c>
    </row>
    <row r="794" customFormat="false" ht="15" hidden="false" customHeight="false" outlineLevel="0" collapsed="false">
      <c r="A794" s="75"/>
      <c r="B794" s="76"/>
      <c r="C794" s="77"/>
      <c r="D794" s="77"/>
      <c r="E794" s="78"/>
      <c r="F794" s="77"/>
      <c r="G794" s="77"/>
      <c r="H794" s="79" t="n">
        <f aca="false">N(H793)+IFERROR(IF(AND($A794&lt;&gt;"",$E794&lt;&gt;"",$A794&gt;=IF(Search!$E$4="",0,Search!$E$4),$A794&lt;=IF(Search!$E$5="",99999,Search!$E$5),OR(Search!$E$6="",ISNUMBER(SEARCH(Search!$E$6,$C794))),OR(Search!$E$7="All",Search!$E$7="",$D794=Search!$E$7),OR(Search!$E$8="",Search!$E$9="",AND($B794&lt;&gt;"",MOD($B794,1)&gt;=Search!$E$8,MOD($B794,1)&lt;=Search!$E$9))),1,0),0)</f>
        <v>0</v>
      </c>
      <c r="I794" s="79" t="n">
        <f aca="false">IF(H794&gt;N(H793),$E794,0)</f>
        <v>0</v>
      </c>
      <c r="J794" s="79" t="n">
        <f aca="false">IFERROR(IF(AND($A794&lt;&gt;"",$E794&lt;&gt;"",$A794&gt;=PeriodStart,$A794&lt;=PeriodEnd),$E794+ROW()/1000000,0),0)</f>
        <v>0</v>
      </c>
    </row>
    <row r="795" customFormat="false" ht="15" hidden="false" customHeight="false" outlineLevel="0" collapsed="false">
      <c r="A795" s="75"/>
      <c r="B795" s="76"/>
      <c r="C795" s="77"/>
      <c r="D795" s="77"/>
      <c r="E795" s="78"/>
      <c r="F795" s="77"/>
      <c r="G795" s="77"/>
      <c r="H795" s="79" t="n">
        <f aca="false">N(H794)+IFERROR(IF(AND($A795&lt;&gt;"",$E795&lt;&gt;"",$A795&gt;=IF(Search!$E$4="",0,Search!$E$4),$A795&lt;=IF(Search!$E$5="",99999,Search!$E$5),OR(Search!$E$6="",ISNUMBER(SEARCH(Search!$E$6,$C795))),OR(Search!$E$7="All",Search!$E$7="",$D795=Search!$E$7),OR(Search!$E$8="",Search!$E$9="",AND($B795&lt;&gt;"",MOD($B795,1)&gt;=Search!$E$8,MOD($B795,1)&lt;=Search!$E$9))),1,0),0)</f>
        <v>0</v>
      </c>
      <c r="I795" s="79" t="n">
        <f aca="false">IF(H795&gt;N(H794),$E795,0)</f>
        <v>0</v>
      </c>
      <c r="J795" s="79" t="n">
        <f aca="false">IFERROR(IF(AND($A795&lt;&gt;"",$E795&lt;&gt;"",$A795&gt;=PeriodStart,$A795&lt;=PeriodEnd),$E795+ROW()/1000000,0),0)</f>
        <v>0</v>
      </c>
    </row>
    <row r="796" customFormat="false" ht="15" hidden="false" customHeight="false" outlineLevel="0" collapsed="false">
      <c r="A796" s="75"/>
      <c r="B796" s="76"/>
      <c r="C796" s="77"/>
      <c r="D796" s="77"/>
      <c r="E796" s="78"/>
      <c r="F796" s="77"/>
      <c r="G796" s="77"/>
      <c r="H796" s="79" t="n">
        <f aca="false">N(H795)+IFERROR(IF(AND($A796&lt;&gt;"",$E796&lt;&gt;"",$A796&gt;=IF(Search!$E$4="",0,Search!$E$4),$A796&lt;=IF(Search!$E$5="",99999,Search!$E$5),OR(Search!$E$6="",ISNUMBER(SEARCH(Search!$E$6,$C796))),OR(Search!$E$7="All",Search!$E$7="",$D796=Search!$E$7),OR(Search!$E$8="",Search!$E$9="",AND($B796&lt;&gt;"",MOD($B796,1)&gt;=Search!$E$8,MOD($B796,1)&lt;=Search!$E$9))),1,0),0)</f>
        <v>0</v>
      </c>
      <c r="I796" s="79" t="n">
        <f aca="false">IF(H796&gt;N(H795),$E796,0)</f>
        <v>0</v>
      </c>
      <c r="J796" s="79" t="n">
        <f aca="false">IFERROR(IF(AND($A796&lt;&gt;"",$E796&lt;&gt;"",$A796&gt;=PeriodStart,$A796&lt;=PeriodEnd),$E796+ROW()/1000000,0),0)</f>
        <v>0</v>
      </c>
    </row>
    <row r="797" customFormat="false" ht="15" hidden="false" customHeight="false" outlineLevel="0" collapsed="false">
      <c r="A797" s="75"/>
      <c r="B797" s="76"/>
      <c r="C797" s="77"/>
      <c r="D797" s="77"/>
      <c r="E797" s="78"/>
      <c r="F797" s="77"/>
      <c r="G797" s="77"/>
      <c r="H797" s="79" t="n">
        <f aca="false">N(H796)+IFERROR(IF(AND($A797&lt;&gt;"",$E797&lt;&gt;"",$A797&gt;=IF(Search!$E$4="",0,Search!$E$4),$A797&lt;=IF(Search!$E$5="",99999,Search!$E$5),OR(Search!$E$6="",ISNUMBER(SEARCH(Search!$E$6,$C797))),OR(Search!$E$7="All",Search!$E$7="",$D797=Search!$E$7),OR(Search!$E$8="",Search!$E$9="",AND($B797&lt;&gt;"",MOD($B797,1)&gt;=Search!$E$8,MOD($B797,1)&lt;=Search!$E$9))),1,0),0)</f>
        <v>0</v>
      </c>
      <c r="I797" s="79" t="n">
        <f aca="false">IF(H797&gt;N(H796),$E797,0)</f>
        <v>0</v>
      </c>
      <c r="J797" s="79" t="n">
        <f aca="false">IFERROR(IF(AND($A797&lt;&gt;"",$E797&lt;&gt;"",$A797&gt;=PeriodStart,$A797&lt;=PeriodEnd),$E797+ROW()/1000000,0),0)</f>
        <v>0</v>
      </c>
    </row>
    <row r="798" customFormat="false" ht="15" hidden="false" customHeight="false" outlineLevel="0" collapsed="false">
      <c r="A798" s="75"/>
      <c r="B798" s="76"/>
      <c r="C798" s="77"/>
      <c r="D798" s="77"/>
      <c r="E798" s="78"/>
      <c r="F798" s="77"/>
      <c r="G798" s="77"/>
      <c r="H798" s="79" t="n">
        <f aca="false">N(H797)+IFERROR(IF(AND($A798&lt;&gt;"",$E798&lt;&gt;"",$A798&gt;=IF(Search!$E$4="",0,Search!$E$4),$A798&lt;=IF(Search!$E$5="",99999,Search!$E$5),OR(Search!$E$6="",ISNUMBER(SEARCH(Search!$E$6,$C798))),OR(Search!$E$7="All",Search!$E$7="",$D798=Search!$E$7),OR(Search!$E$8="",Search!$E$9="",AND($B798&lt;&gt;"",MOD($B798,1)&gt;=Search!$E$8,MOD($B798,1)&lt;=Search!$E$9))),1,0),0)</f>
        <v>0</v>
      </c>
      <c r="I798" s="79" t="n">
        <f aca="false">IF(H798&gt;N(H797),$E798,0)</f>
        <v>0</v>
      </c>
      <c r="J798" s="79" t="n">
        <f aca="false">IFERROR(IF(AND($A798&lt;&gt;"",$E798&lt;&gt;"",$A798&gt;=PeriodStart,$A798&lt;=PeriodEnd),$E798+ROW()/1000000,0),0)</f>
        <v>0</v>
      </c>
    </row>
    <row r="799" customFormat="false" ht="15" hidden="false" customHeight="false" outlineLevel="0" collapsed="false">
      <c r="A799" s="75"/>
      <c r="B799" s="76"/>
      <c r="C799" s="77"/>
      <c r="D799" s="77"/>
      <c r="E799" s="78"/>
      <c r="F799" s="77"/>
      <c r="G799" s="77"/>
      <c r="H799" s="79" t="n">
        <f aca="false">N(H798)+IFERROR(IF(AND($A799&lt;&gt;"",$E799&lt;&gt;"",$A799&gt;=IF(Search!$E$4="",0,Search!$E$4),$A799&lt;=IF(Search!$E$5="",99999,Search!$E$5),OR(Search!$E$6="",ISNUMBER(SEARCH(Search!$E$6,$C799))),OR(Search!$E$7="All",Search!$E$7="",$D799=Search!$E$7),OR(Search!$E$8="",Search!$E$9="",AND($B799&lt;&gt;"",MOD($B799,1)&gt;=Search!$E$8,MOD($B799,1)&lt;=Search!$E$9))),1,0),0)</f>
        <v>0</v>
      </c>
      <c r="I799" s="79" t="n">
        <f aca="false">IF(H799&gt;N(H798),$E799,0)</f>
        <v>0</v>
      </c>
      <c r="J799" s="79" t="n">
        <f aca="false">IFERROR(IF(AND($A799&lt;&gt;"",$E799&lt;&gt;"",$A799&gt;=PeriodStart,$A799&lt;=PeriodEnd),$E799+ROW()/1000000,0),0)</f>
        <v>0</v>
      </c>
    </row>
    <row r="800" customFormat="false" ht="15" hidden="false" customHeight="false" outlineLevel="0" collapsed="false">
      <c r="A800" s="75"/>
      <c r="B800" s="76"/>
      <c r="C800" s="77"/>
      <c r="D800" s="77"/>
      <c r="E800" s="78"/>
      <c r="F800" s="77"/>
      <c r="G800" s="77"/>
      <c r="H800" s="79" t="n">
        <f aca="false">N(H799)+IFERROR(IF(AND($A800&lt;&gt;"",$E800&lt;&gt;"",$A800&gt;=IF(Search!$E$4="",0,Search!$E$4),$A800&lt;=IF(Search!$E$5="",99999,Search!$E$5),OR(Search!$E$6="",ISNUMBER(SEARCH(Search!$E$6,$C800))),OR(Search!$E$7="All",Search!$E$7="",$D800=Search!$E$7),OR(Search!$E$8="",Search!$E$9="",AND($B800&lt;&gt;"",MOD($B800,1)&gt;=Search!$E$8,MOD($B800,1)&lt;=Search!$E$9))),1,0),0)</f>
        <v>0</v>
      </c>
      <c r="I800" s="79" t="n">
        <f aca="false">IF(H800&gt;N(H799),$E800,0)</f>
        <v>0</v>
      </c>
      <c r="J800" s="79" t="n">
        <f aca="false">IFERROR(IF(AND($A800&lt;&gt;"",$E800&lt;&gt;"",$A800&gt;=PeriodStart,$A800&lt;=PeriodEnd),$E800+ROW()/1000000,0),0)</f>
        <v>0</v>
      </c>
    </row>
    <row r="801" customFormat="false" ht="15" hidden="false" customHeight="false" outlineLevel="0" collapsed="false">
      <c r="A801" s="75"/>
      <c r="B801" s="76"/>
      <c r="C801" s="77"/>
      <c r="D801" s="77"/>
      <c r="E801" s="78"/>
      <c r="F801" s="77"/>
      <c r="G801" s="77"/>
      <c r="H801" s="79" t="n">
        <f aca="false">N(H800)+IFERROR(IF(AND($A801&lt;&gt;"",$E801&lt;&gt;"",$A801&gt;=IF(Search!$E$4="",0,Search!$E$4),$A801&lt;=IF(Search!$E$5="",99999,Search!$E$5),OR(Search!$E$6="",ISNUMBER(SEARCH(Search!$E$6,$C801))),OR(Search!$E$7="All",Search!$E$7="",$D801=Search!$E$7),OR(Search!$E$8="",Search!$E$9="",AND($B801&lt;&gt;"",MOD($B801,1)&gt;=Search!$E$8,MOD($B801,1)&lt;=Search!$E$9))),1,0),0)</f>
        <v>0</v>
      </c>
      <c r="I801" s="79" t="n">
        <f aca="false">IF(H801&gt;N(H800),$E801,0)</f>
        <v>0</v>
      </c>
      <c r="J801" s="79" t="n">
        <f aca="false">IFERROR(IF(AND($A801&lt;&gt;"",$E801&lt;&gt;"",$A801&gt;=PeriodStart,$A801&lt;=PeriodEnd),$E801+ROW()/1000000,0),0)</f>
        <v>0</v>
      </c>
    </row>
    <row r="802" customFormat="false" ht="15" hidden="false" customHeight="false" outlineLevel="0" collapsed="false">
      <c r="A802" s="75"/>
      <c r="B802" s="76"/>
      <c r="C802" s="77"/>
      <c r="D802" s="77"/>
      <c r="E802" s="78"/>
      <c r="F802" s="77"/>
      <c r="G802" s="77"/>
      <c r="H802" s="79" t="n">
        <f aca="false">N(H801)+IFERROR(IF(AND($A802&lt;&gt;"",$E802&lt;&gt;"",$A802&gt;=IF(Search!$E$4="",0,Search!$E$4),$A802&lt;=IF(Search!$E$5="",99999,Search!$E$5),OR(Search!$E$6="",ISNUMBER(SEARCH(Search!$E$6,$C802))),OR(Search!$E$7="All",Search!$E$7="",$D802=Search!$E$7),OR(Search!$E$8="",Search!$E$9="",AND($B802&lt;&gt;"",MOD($B802,1)&gt;=Search!$E$8,MOD($B802,1)&lt;=Search!$E$9))),1,0),0)</f>
        <v>0</v>
      </c>
      <c r="I802" s="79" t="n">
        <f aca="false">IF(H802&gt;N(H801),$E802,0)</f>
        <v>0</v>
      </c>
      <c r="J802" s="79" t="n">
        <f aca="false">IFERROR(IF(AND($A802&lt;&gt;"",$E802&lt;&gt;"",$A802&gt;=PeriodStart,$A802&lt;=PeriodEnd),$E802+ROW()/1000000,0),0)</f>
        <v>0</v>
      </c>
    </row>
    <row r="803" customFormat="false" ht="15" hidden="false" customHeight="false" outlineLevel="0" collapsed="false">
      <c r="A803" s="75"/>
      <c r="B803" s="76"/>
      <c r="C803" s="77"/>
      <c r="D803" s="77"/>
      <c r="E803" s="78"/>
      <c r="F803" s="77"/>
      <c r="G803" s="77"/>
      <c r="H803" s="79" t="n">
        <f aca="false">N(H802)+IFERROR(IF(AND($A803&lt;&gt;"",$E803&lt;&gt;"",$A803&gt;=IF(Search!$E$4="",0,Search!$E$4),$A803&lt;=IF(Search!$E$5="",99999,Search!$E$5),OR(Search!$E$6="",ISNUMBER(SEARCH(Search!$E$6,$C803))),OR(Search!$E$7="All",Search!$E$7="",$D803=Search!$E$7),OR(Search!$E$8="",Search!$E$9="",AND($B803&lt;&gt;"",MOD($B803,1)&gt;=Search!$E$8,MOD($B803,1)&lt;=Search!$E$9))),1,0),0)</f>
        <v>0</v>
      </c>
      <c r="I803" s="79" t="n">
        <f aca="false">IF(H803&gt;N(H802),$E803,0)</f>
        <v>0</v>
      </c>
      <c r="J803" s="79" t="n">
        <f aca="false">IFERROR(IF(AND($A803&lt;&gt;"",$E803&lt;&gt;"",$A803&gt;=PeriodStart,$A803&lt;=PeriodEnd),$E803+ROW()/1000000,0),0)</f>
        <v>0</v>
      </c>
    </row>
    <row r="804" customFormat="false" ht="15" hidden="false" customHeight="false" outlineLevel="0" collapsed="false">
      <c r="A804" s="75"/>
      <c r="B804" s="76"/>
      <c r="C804" s="77"/>
      <c r="D804" s="77"/>
      <c r="E804" s="78"/>
      <c r="F804" s="77"/>
      <c r="G804" s="77"/>
      <c r="H804" s="79" t="n">
        <f aca="false">N(H803)+IFERROR(IF(AND($A804&lt;&gt;"",$E804&lt;&gt;"",$A804&gt;=IF(Search!$E$4="",0,Search!$E$4),$A804&lt;=IF(Search!$E$5="",99999,Search!$E$5),OR(Search!$E$6="",ISNUMBER(SEARCH(Search!$E$6,$C804))),OR(Search!$E$7="All",Search!$E$7="",$D804=Search!$E$7),OR(Search!$E$8="",Search!$E$9="",AND($B804&lt;&gt;"",MOD($B804,1)&gt;=Search!$E$8,MOD($B804,1)&lt;=Search!$E$9))),1,0),0)</f>
        <v>0</v>
      </c>
      <c r="I804" s="79" t="n">
        <f aca="false">IF(H804&gt;N(H803),$E804,0)</f>
        <v>0</v>
      </c>
      <c r="J804" s="79" t="n">
        <f aca="false">IFERROR(IF(AND($A804&lt;&gt;"",$E804&lt;&gt;"",$A804&gt;=PeriodStart,$A804&lt;=PeriodEnd),$E804+ROW()/1000000,0),0)</f>
        <v>0</v>
      </c>
    </row>
    <row r="805" customFormat="false" ht="15" hidden="false" customHeight="false" outlineLevel="0" collapsed="false">
      <c r="A805" s="75"/>
      <c r="B805" s="76"/>
      <c r="C805" s="77"/>
      <c r="D805" s="77"/>
      <c r="E805" s="78"/>
      <c r="F805" s="77"/>
      <c r="G805" s="77"/>
      <c r="H805" s="79" t="n">
        <f aca="false">N(H804)+IFERROR(IF(AND($A805&lt;&gt;"",$E805&lt;&gt;"",$A805&gt;=IF(Search!$E$4="",0,Search!$E$4),$A805&lt;=IF(Search!$E$5="",99999,Search!$E$5),OR(Search!$E$6="",ISNUMBER(SEARCH(Search!$E$6,$C805))),OR(Search!$E$7="All",Search!$E$7="",$D805=Search!$E$7),OR(Search!$E$8="",Search!$E$9="",AND($B805&lt;&gt;"",MOD($B805,1)&gt;=Search!$E$8,MOD($B805,1)&lt;=Search!$E$9))),1,0),0)</f>
        <v>0</v>
      </c>
      <c r="I805" s="79" t="n">
        <f aca="false">IF(H805&gt;N(H804),$E805,0)</f>
        <v>0</v>
      </c>
      <c r="J805" s="79" t="n">
        <f aca="false">IFERROR(IF(AND($A805&lt;&gt;"",$E805&lt;&gt;"",$A805&gt;=PeriodStart,$A805&lt;=PeriodEnd),$E805+ROW()/1000000,0),0)</f>
        <v>0</v>
      </c>
    </row>
    <row r="806" customFormat="false" ht="15" hidden="false" customHeight="false" outlineLevel="0" collapsed="false">
      <c r="A806" s="75"/>
      <c r="B806" s="76"/>
      <c r="C806" s="77"/>
      <c r="D806" s="77"/>
      <c r="E806" s="78"/>
      <c r="F806" s="77"/>
      <c r="G806" s="77"/>
      <c r="H806" s="79" t="n">
        <f aca="false">N(H805)+IFERROR(IF(AND($A806&lt;&gt;"",$E806&lt;&gt;"",$A806&gt;=IF(Search!$E$4="",0,Search!$E$4),$A806&lt;=IF(Search!$E$5="",99999,Search!$E$5),OR(Search!$E$6="",ISNUMBER(SEARCH(Search!$E$6,$C806))),OR(Search!$E$7="All",Search!$E$7="",$D806=Search!$E$7),OR(Search!$E$8="",Search!$E$9="",AND($B806&lt;&gt;"",MOD($B806,1)&gt;=Search!$E$8,MOD($B806,1)&lt;=Search!$E$9))),1,0),0)</f>
        <v>0</v>
      </c>
      <c r="I806" s="79" t="n">
        <f aca="false">IF(H806&gt;N(H805),$E806,0)</f>
        <v>0</v>
      </c>
      <c r="J806" s="79" t="n">
        <f aca="false">IFERROR(IF(AND($A806&lt;&gt;"",$E806&lt;&gt;"",$A806&gt;=PeriodStart,$A806&lt;=PeriodEnd),$E806+ROW()/1000000,0),0)</f>
        <v>0</v>
      </c>
    </row>
    <row r="807" customFormat="false" ht="15" hidden="false" customHeight="false" outlineLevel="0" collapsed="false">
      <c r="A807" s="75"/>
      <c r="B807" s="76"/>
      <c r="C807" s="77"/>
      <c r="D807" s="77"/>
      <c r="E807" s="78"/>
      <c r="F807" s="77"/>
      <c r="G807" s="77"/>
      <c r="H807" s="79" t="n">
        <f aca="false">N(H806)+IFERROR(IF(AND($A807&lt;&gt;"",$E807&lt;&gt;"",$A807&gt;=IF(Search!$E$4="",0,Search!$E$4),$A807&lt;=IF(Search!$E$5="",99999,Search!$E$5),OR(Search!$E$6="",ISNUMBER(SEARCH(Search!$E$6,$C807))),OR(Search!$E$7="All",Search!$E$7="",$D807=Search!$E$7),OR(Search!$E$8="",Search!$E$9="",AND($B807&lt;&gt;"",MOD($B807,1)&gt;=Search!$E$8,MOD($B807,1)&lt;=Search!$E$9))),1,0),0)</f>
        <v>0</v>
      </c>
      <c r="I807" s="79" t="n">
        <f aca="false">IF(H807&gt;N(H806),$E807,0)</f>
        <v>0</v>
      </c>
      <c r="J807" s="79" t="n">
        <f aca="false">IFERROR(IF(AND($A807&lt;&gt;"",$E807&lt;&gt;"",$A807&gt;=PeriodStart,$A807&lt;=PeriodEnd),$E807+ROW()/1000000,0),0)</f>
        <v>0</v>
      </c>
    </row>
    <row r="808" customFormat="false" ht="15" hidden="false" customHeight="false" outlineLevel="0" collapsed="false">
      <c r="A808" s="75"/>
      <c r="B808" s="76"/>
      <c r="C808" s="77"/>
      <c r="D808" s="77"/>
      <c r="E808" s="78"/>
      <c r="F808" s="77"/>
      <c r="G808" s="77"/>
      <c r="H808" s="79" t="n">
        <f aca="false">N(H807)+IFERROR(IF(AND($A808&lt;&gt;"",$E808&lt;&gt;"",$A808&gt;=IF(Search!$E$4="",0,Search!$E$4),$A808&lt;=IF(Search!$E$5="",99999,Search!$E$5),OR(Search!$E$6="",ISNUMBER(SEARCH(Search!$E$6,$C808))),OR(Search!$E$7="All",Search!$E$7="",$D808=Search!$E$7),OR(Search!$E$8="",Search!$E$9="",AND($B808&lt;&gt;"",MOD($B808,1)&gt;=Search!$E$8,MOD($B808,1)&lt;=Search!$E$9))),1,0),0)</f>
        <v>0</v>
      </c>
      <c r="I808" s="79" t="n">
        <f aca="false">IF(H808&gt;N(H807),$E808,0)</f>
        <v>0</v>
      </c>
      <c r="J808" s="79" t="n">
        <f aca="false">IFERROR(IF(AND($A808&lt;&gt;"",$E808&lt;&gt;"",$A808&gt;=PeriodStart,$A808&lt;=PeriodEnd),$E808+ROW()/1000000,0),0)</f>
        <v>0</v>
      </c>
    </row>
    <row r="809" customFormat="false" ht="15" hidden="false" customHeight="false" outlineLevel="0" collapsed="false">
      <c r="A809" s="75"/>
      <c r="B809" s="76"/>
      <c r="C809" s="77"/>
      <c r="D809" s="77"/>
      <c r="E809" s="78"/>
      <c r="F809" s="77"/>
      <c r="G809" s="77"/>
      <c r="H809" s="79" t="n">
        <f aca="false">N(H808)+IFERROR(IF(AND($A809&lt;&gt;"",$E809&lt;&gt;"",$A809&gt;=IF(Search!$E$4="",0,Search!$E$4),$A809&lt;=IF(Search!$E$5="",99999,Search!$E$5),OR(Search!$E$6="",ISNUMBER(SEARCH(Search!$E$6,$C809))),OR(Search!$E$7="All",Search!$E$7="",$D809=Search!$E$7),OR(Search!$E$8="",Search!$E$9="",AND($B809&lt;&gt;"",MOD($B809,1)&gt;=Search!$E$8,MOD($B809,1)&lt;=Search!$E$9))),1,0),0)</f>
        <v>0</v>
      </c>
      <c r="I809" s="79" t="n">
        <f aca="false">IF(H809&gt;N(H808),$E809,0)</f>
        <v>0</v>
      </c>
      <c r="J809" s="79" t="n">
        <f aca="false">IFERROR(IF(AND($A809&lt;&gt;"",$E809&lt;&gt;"",$A809&gt;=PeriodStart,$A809&lt;=PeriodEnd),$E809+ROW()/1000000,0),0)</f>
        <v>0</v>
      </c>
    </row>
    <row r="810" customFormat="false" ht="15" hidden="false" customHeight="false" outlineLevel="0" collapsed="false">
      <c r="A810" s="75"/>
      <c r="B810" s="76"/>
      <c r="C810" s="77"/>
      <c r="D810" s="77"/>
      <c r="E810" s="78"/>
      <c r="F810" s="77"/>
      <c r="G810" s="77"/>
      <c r="H810" s="79" t="n">
        <f aca="false">N(H809)+IFERROR(IF(AND($A810&lt;&gt;"",$E810&lt;&gt;"",$A810&gt;=IF(Search!$E$4="",0,Search!$E$4),$A810&lt;=IF(Search!$E$5="",99999,Search!$E$5),OR(Search!$E$6="",ISNUMBER(SEARCH(Search!$E$6,$C810))),OR(Search!$E$7="All",Search!$E$7="",$D810=Search!$E$7),OR(Search!$E$8="",Search!$E$9="",AND($B810&lt;&gt;"",MOD($B810,1)&gt;=Search!$E$8,MOD($B810,1)&lt;=Search!$E$9))),1,0),0)</f>
        <v>0</v>
      </c>
      <c r="I810" s="79" t="n">
        <f aca="false">IF(H810&gt;N(H809),$E810,0)</f>
        <v>0</v>
      </c>
      <c r="J810" s="79" t="n">
        <f aca="false">IFERROR(IF(AND($A810&lt;&gt;"",$E810&lt;&gt;"",$A810&gt;=PeriodStart,$A810&lt;=PeriodEnd),$E810+ROW()/1000000,0),0)</f>
        <v>0</v>
      </c>
    </row>
    <row r="811" customFormat="false" ht="15" hidden="false" customHeight="false" outlineLevel="0" collapsed="false">
      <c r="A811" s="75"/>
      <c r="B811" s="76"/>
      <c r="C811" s="77"/>
      <c r="D811" s="77"/>
      <c r="E811" s="78"/>
      <c r="F811" s="77"/>
      <c r="G811" s="77"/>
      <c r="H811" s="79" t="n">
        <f aca="false">N(H810)+IFERROR(IF(AND($A811&lt;&gt;"",$E811&lt;&gt;"",$A811&gt;=IF(Search!$E$4="",0,Search!$E$4),$A811&lt;=IF(Search!$E$5="",99999,Search!$E$5),OR(Search!$E$6="",ISNUMBER(SEARCH(Search!$E$6,$C811))),OR(Search!$E$7="All",Search!$E$7="",$D811=Search!$E$7),OR(Search!$E$8="",Search!$E$9="",AND($B811&lt;&gt;"",MOD($B811,1)&gt;=Search!$E$8,MOD($B811,1)&lt;=Search!$E$9))),1,0),0)</f>
        <v>0</v>
      </c>
      <c r="I811" s="79" t="n">
        <f aca="false">IF(H811&gt;N(H810),$E811,0)</f>
        <v>0</v>
      </c>
      <c r="J811" s="79" t="n">
        <f aca="false">IFERROR(IF(AND($A811&lt;&gt;"",$E811&lt;&gt;"",$A811&gt;=PeriodStart,$A811&lt;=PeriodEnd),$E811+ROW()/1000000,0),0)</f>
        <v>0</v>
      </c>
    </row>
    <row r="812" customFormat="false" ht="15" hidden="false" customHeight="false" outlineLevel="0" collapsed="false">
      <c r="A812" s="75"/>
      <c r="B812" s="76"/>
      <c r="C812" s="77"/>
      <c r="D812" s="77"/>
      <c r="E812" s="78"/>
      <c r="F812" s="77"/>
      <c r="G812" s="77"/>
      <c r="H812" s="79" t="n">
        <f aca="false">N(H811)+IFERROR(IF(AND($A812&lt;&gt;"",$E812&lt;&gt;"",$A812&gt;=IF(Search!$E$4="",0,Search!$E$4),$A812&lt;=IF(Search!$E$5="",99999,Search!$E$5),OR(Search!$E$6="",ISNUMBER(SEARCH(Search!$E$6,$C812))),OR(Search!$E$7="All",Search!$E$7="",$D812=Search!$E$7),OR(Search!$E$8="",Search!$E$9="",AND($B812&lt;&gt;"",MOD($B812,1)&gt;=Search!$E$8,MOD($B812,1)&lt;=Search!$E$9))),1,0),0)</f>
        <v>0</v>
      </c>
      <c r="I812" s="79" t="n">
        <f aca="false">IF(H812&gt;N(H811),$E812,0)</f>
        <v>0</v>
      </c>
      <c r="J812" s="79" t="n">
        <f aca="false">IFERROR(IF(AND($A812&lt;&gt;"",$E812&lt;&gt;"",$A812&gt;=PeriodStart,$A812&lt;=PeriodEnd),$E812+ROW()/1000000,0),0)</f>
        <v>0</v>
      </c>
    </row>
    <row r="813" customFormat="false" ht="15" hidden="false" customHeight="false" outlineLevel="0" collapsed="false">
      <c r="A813" s="75"/>
      <c r="B813" s="76"/>
      <c r="C813" s="77"/>
      <c r="D813" s="77"/>
      <c r="E813" s="78"/>
      <c r="F813" s="77"/>
      <c r="G813" s="77"/>
      <c r="H813" s="79" t="n">
        <f aca="false">N(H812)+IFERROR(IF(AND($A813&lt;&gt;"",$E813&lt;&gt;"",$A813&gt;=IF(Search!$E$4="",0,Search!$E$4),$A813&lt;=IF(Search!$E$5="",99999,Search!$E$5),OR(Search!$E$6="",ISNUMBER(SEARCH(Search!$E$6,$C813))),OR(Search!$E$7="All",Search!$E$7="",$D813=Search!$E$7),OR(Search!$E$8="",Search!$E$9="",AND($B813&lt;&gt;"",MOD($B813,1)&gt;=Search!$E$8,MOD($B813,1)&lt;=Search!$E$9))),1,0),0)</f>
        <v>0</v>
      </c>
      <c r="I813" s="79" t="n">
        <f aca="false">IF(H813&gt;N(H812),$E813,0)</f>
        <v>0</v>
      </c>
      <c r="J813" s="79" t="n">
        <f aca="false">IFERROR(IF(AND($A813&lt;&gt;"",$E813&lt;&gt;"",$A813&gt;=PeriodStart,$A813&lt;=PeriodEnd),$E813+ROW()/1000000,0),0)</f>
        <v>0</v>
      </c>
    </row>
    <row r="814" customFormat="false" ht="15" hidden="false" customHeight="false" outlineLevel="0" collapsed="false">
      <c r="A814" s="75"/>
      <c r="B814" s="76"/>
      <c r="C814" s="77"/>
      <c r="D814" s="77"/>
      <c r="E814" s="78"/>
      <c r="F814" s="77"/>
      <c r="G814" s="77"/>
      <c r="H814" s="79" t="n">
        <f aca="false">N(H813)+IFERROR(IF(AND($A814&lt;&gt;"",$E814&lt;&gt;"",$A814&gt;=IF(Search!$E$4="",0,Search!$E$4),$A814&lt;=IF(Search!$E$5="",99999,Search!$E$5),OR(Search!$E$6="",ISNUMBER(SEARCH(Search!$E$6,$C814))),OR(Search!$E$7="All",Search!$E$7="",$D814=Search!$E$7),OR(Search!$E$8="",Search!$E$9="",AND($B814&lt;&gt;"",MOD($B814,1)&gt;=Search!$E$8,MOD($B814,1)&lt;=Search!$E$9))),1,0),0)</f>
        <v>0</v>
      </c>
      <c r="I814" s="79" t="n">
        <f aca="false">IF(H814&gt;N(H813),$E814,0)</f>
        <v>0</v>
      </c>
      <c r="J814" s="79" t="n">
        <f aca="false">IFERROR(IF(AND($A814&lt;&gt;"",$E814&lt;&gt;"",$A814&gt;=PeriodStart,$A814&lt;=PeriodEnd),$E814+ROW()/1000000,0),0)</f>
        <v>0</v>
      </c>
    </row>
    <row r="815" customFormat="false" ht="15" hidden="false" customHeight="false" outlineLevel="0" collapsed="false">
      <c r="A815" s="75"/>
      <c r="B815" s="76"/>
      <c r="C815" s="77"/>
      <c r="D815" s="77"/>
      <c r="E815" s="78"/>
      <c r="F815" s="77"/>
      <c r="G815" s="77"/>
      <c r="H815" s="79" t="n">
        <f aca="false">N(H814)+IFERROR(IF(AND($A815&lt;&gt;"",$E815&lt;&gt;"",$A815&gt;=IF(Search!$E$4="",0,Search!$E$4),$A815&lt;=IF(Search!$E$5="",99999,Search!$E$5),OR(Search!$E$6="",ISNUMBER(SEARCH(Search!$E$6,$C815))),OR(Search!$E$7="All",Search!$E$7="",$D815=Search!$E$7),OR(Search!$E$8="",Search!$E$9="",AND($B815&lt;&gt;"",MOD($B815,1)&gt;=Search!$E$8,MOD($B815,1)&lt;=Search!$E$9))),1,0),0)</f>
        <v>0</v>
      </c>
      <c r="I815" s="79" t="n">
        <f aca="false">IF(H815&gt;N(H814),$E815,0)</f>
        <v>0</v>
      </c>
      <c r="J815" s="79" t="n">
        <f aca="false">IFERROR(IF(AND($A815&lt;&gt;"",$E815&lt;&gt;"",$A815&gt;=PeriodStart,$A815&lt;=PeriodEnd),$E815+ROW()/1000000,0),0)</f>
        <v>0</v>
      </c>
    </row>
    <row r="816" customFormat="false" ht="15" hidden="false" customHeight="false" outlineLevel="0" collapsed="false">
      <c r="A816" s="75"/>
      <c r="B816" s="76"/>
      <c r="C816" s="77"/>
      <c r="D816" s="77"/>
      <c r="E816" s="78"/>
      <c r="F816" s="77"/>
      <c r="G816" s="77"/>
      <c r="H816" s="79" t="n">
        <f aca="false">N(H815)+IFERROR(IF(AND($A816&lt;&gt;"",$E816&lt;&gt;"",$A816&gt;=IF(Search!$E$4="",0,Search!$E$4),$A816&lt;=IF(Search!$E$5="",99999,Search!$E$5),OR(Search!$E$6="",ISNUMBER(SEARCH(Search!$E$6,$C816))),OR(Search!$E$7="All",Search!$E$7="",$D816=Search!$E$7),OR(Search!$E$8="",Search!$E$9="",AND($B816&lt;&gt;"",MOD($B816,1)&gt;=Search!$E$8,MOD($B816,1)&lt;=Search!$E$9))),1,0),0)</f>
        <v>0</v>
      </c>
      <c r="I816" s="79" t="n">
        <f aca="false">IF(H816&gt;N(H815),$E816,0)</f>
        <v>0</v>
      </c>
      <c r="J816" s="79" t="n">
        <f aca="false">IFERROR(IF(AND($A816&lt;&gt;"",$E816&lt;&gt;"",$A816&gt;=PeriodStart,$A816&lt;=PeriodEnd),$E816+ROW()/1000000,0),0)</f>
        <v>0</v>
      </c>
    </row>
    <row r="817" customFormat="false" ht="15" hidden="false" customHeight="false" outlineLevel="0" collapsed="false">
      <c r="A817" s="75"/>
      <c r="B817" s="76"/>
      <c r="C817" s="77"/>
      <c r="D817" s="77"/>
      <c r="E817" s="78"/>
      <c r="F817" s="77"/>
      <c r="G817" s="77"/>
      <c r="H817" s="79" t="n">
        <f aca="false">N(H816)+IFERROR(IF(AND($A817&lt;&gt;"",$E817&lt;&gt;"",$A817&gt;=IF(Search!$E$4="",0,Search!$E$4),$A817&lt;=IF(Search!$E$5="",99999,Search!$E$5),OR(Search!$E$6="",ISNUMBER(SEARCH(Search!$E$6,$C817))),OR(Search!$E$7="All",Search!$E$7="",$D817=Search!$E$7),OR(Search!$E$8="",Search!$E$9="",AND($B817&lt;&gt;"",MOD($B817,1)&gt;=Search!$E$8,MOD($B817,1)&lt;=Search!$E$9))),1,0),0)</f>
        <v>0</v>
      </c>
      <c r="I817" s="79" t="n">
        <f aca="false">IF(H817&gt;N(H816),$E817,0)</f>
        <v>0</v>
      </c>
      <c r="J817" s="79" t="n">
        <f aca="false">IFERROR(IF(AND($A817&lt;&gt;"",$E817&lt;&gt;"",$A817&gt;=PeriodStart,$A817&lt;=PeriodEnd),$E817+ROW()/1000000,0),0)</f>
        <v>0</v>
      </c>
    </row>
    <row r="818" customFormat="false" ht="15" hidden="false" customHeight="false" outlineLevel="0" collapsed="false">
      <c r="A818" s="75"/>
      <c r="B818" s="76"/>
      <c r="C818" s="77"/>
      <c r="D818" s="77"/>
      <c r="E818" s="78"/>
      <c r="F818" s="77"/>
      <c r="G818" s="77"/>
      <c r="H818" s="79" t="n">
        <f aca="false">N(H817)+IFERROR(IF(AND($A818&lt;&gt;"",$E818&lt;&gt;"",$A818&gt;=IF(Search!$E$4="",0,Search!$E$4),$A818&lt;=IF(Search!$E$5="",99999,Search!$E$5),OR(Search!$E$6="",ISNUMBER(SEARCH(Search!$E$6,$C818))),OR(Search!$E$7="All",Search!$E$7="",$D818=Search!$E$7),OR(Search!$E$8="",Search!$E$9="",AND($B818&lt;&gt;"",MOD($B818,1)&gt;=Search!$E$8,MOD($B818,1)&lt;=Search!$E$9))),1,0),0)</f>
        <v>0</v>
      </c>
      <c r="I818" s="79" t="n">
        <f aca="false">IF(H818&gt;N(H817),$E818,0)</f>
        <v>0</v>
      </c>
      <c r="J818" s="79" t="n">
        <f aca="false">IFERROR(IF(AND($A818&lt;&gt;"",$E818&lt;&gt;"",$A818&gt;=PeriodStart,$A818&lt;=PeriodEnd),$E818+ROW()/1000000,0),0)</f>
        <v>0</v>
      </c>
    </row>
    <row r="819" customFormat="false" ht="15" hidden="false" customHeight="false" outlineLevel="0" collapsed="false">
      <c r="A819" s="75"/>
      <c r="B819" s="76"/>
      <c r="C819" s="77"/>
      <c r="D819" s="77"/>
      <c r="E819" s="78"/>
      <c r="F819" s="77"/>
      <c r="G819" s="77"/>
      <c r="H819" s="79" t="n">
        <f aca="false">N(H818)+IFERROR(IF(AND($A819&lt;&gt;"",$E819&lt;&gt;"",$A819&gt;=IF(Search!$E$4="",0,Search!$E$4),$A819&lt;=IF(Search!$E$5="",99999,Search!$E$5),OR(Search!$E$6="",ISNUMBER(SEARCH(Search!$E$6,$C819))),OR(Search!$E$7="All",Search!$E$7="",$D819=Search!$E$7),OR(Search!$E$8="",Search!$E$9="",AND($B819&lt;&gt;"",MOD($B819,1)&gt;=Search!$E$8,MOD($B819,1)&lt;=Search!$E$9))),1,0),0)</f>
        <v>0</v>
      </c>
      <c r="I819" s="79" t="n">
        <f aca="false">IF(H819&gt;N(H818),$E819,0)</f>
        <v>0</v>
      </c>
      <c r="J819" s="79" t="n">
        <f aca="false">IFERROR(IF(AND($A819&lt;&gt;"",$E819&lt;&gt;"",$A819&gt;=PeriodStart,$A819&lt;=PeriodEnd),$E819+ROW()/1000000,0),0)</f>
        <v>0</v>
      </c>
    </row>
    <row r="820" customFormat="false" ht="15" hidden="false" customHeight="false" outlineLevel="0" collapsed="false">
      <c r="A820" s="75"/>
      <c r="B820" s="76"/>
      <c r="C820" s="77"/>
      <c r="D820" s="77"/>
      <c r="E820" s="78"/>
      <c r="F820" s="77"/>
      <c r="G820" s="77"/>
      <c r="H820" s="79" t="n">
        <f aca="false">N(H819)+IFERROR(IF(AND($A820&lt;&gt;"",$E820&lt;&gt;"",$A820&gt;=IF(Search!$E$4="",0,Search!$E$4),$A820&lt;=IF(Search!$E$5="",99999,Search!$E$5),OR(Search!$E$6="",ISNUMBER(SEARCH(Search!$E$6,$C820))),OR(Search!$E$7="All",Search!$E$7="",$D820=Search!$E$7),OR(Search!$E$8="",Search!$E$9="",AND($B820&lt;&gt;"",MOD($B820,1)&gt;=Search!$E$8,MOD($B820,1)&lt;=Search!$E$9))),1,0),0)</f>
        <v>0</v>
      </c>
      <c r="I820" s="79" t="n">
        <f aca="false">IF(H820&gt;N(H819),$E820,0)</f>
        <v>0</v>
      </c>
      <c r="J820" s="79" t="n">
        <f aca="false">IFERROR(IF(AND($A820&lt;&gt;"",$E820&lt;&gt;"",$A820&gt;=PeriodStart,$A820&lt;=PeriodEnd),$E820+ROW()/1000000,0),0)</f>
        <v>0</v>
      </c>
    </row>
    <row r="821" customFormat="false" ht="15" hidden="false" customHeight="false" outlineLevel="0" collapsed="false">
      <c r="A821" s="75"/>
      <c r="B821" s="76"/>
      <c r="C821" s="77"/>
      <c r="D821" s="77"/>
      <c r="E821" s="78"/>
      <c r="F821" s="77"/>
      <c r="G821" s="77"/>
      <c r="H821" s="79" t="n">
        <f aca="false">N(H820)+IFERROR(IF(AND($A821&lt;&gt;"",$E821&lt;&gt;"",$A821&gt;=IF(Search!$E$4="",0,Search!$E$4),$A821&lt;=IF(Search!$E$5="",99999,Search!$E$5),OR(Search!$E$6="",ISNUMBER(SEARCH(Search!$E$6,$C821))),OR(Search!$E$7="All",Search!$E$7="",$D821=Search!$E$7),OR(Search!$E$8="",Search!$E$9="",AND($B821&lt;&gt;"",MOD($B821,1)&gt;=Search!$E$8,MOD($B821,1)&lt;=Search!$E$9))),1,0),0)</f>
        <v>0</v>
      </c>
      <c r="I821" s="79" t="n">
        <f aca="false">IF(H821&gt;N(H820),$E821,0)</f>
        <v>0</v>
      </c>
      <c r="J821" s="79" t="n">
        <f aca="false">IFERROR(IF(AND($A821&lt;&gt;"",$E821&lt;&gt;"",$A821&gt;=PeriodStart,$A821&lt;=PeriodEnd),$E821+ROW()/1000000,0),0)</f>
        <v>0</v>
      </c>
    </row>
    <row r="822" customFormat="false" ht="15" hidden="false" customHeight="false" outlineLevel="0" collapsed="false">
      <c r="A822" s="75"/>
      <c r="B822" s="76"/>
      <c r="C822" s="77"/>
      <c r="D822" s="77"/>
      <c r="E822" s="78"/>
      <c r="F822" s="77"/>
      <c r="G822" s="77"/>
      <c r="H822" s="79" t="n">
        <f aca="false">N(H821)+IFERROR(IF(AND($A822&lt;&gt;"",$E822&lt;&gt;"",$A822&gt;=IF(Search!$E$4="",0,Search!$E$4),$A822&lt;=IF(Search!$E$5="",99999,Search!$E$5),OR(Search!$E$6="",ISNUMBER(SEARCH(Search!$E$6,$C822))),OR(Search!$E$7="All",Search!$E$7="",$D822=Search!$E$7),OR(Search!$E$8="",Search!$E$9="",AND($B822&lt;&gt;"",MOD($B822,1)&gt;=Search!$E$8,MOD($B822,1)&lt;=Search!$E$9))),1,0),0)</f>
        <v>0</v>
      </c>
      <c r="I822" s="79" t="n">
        <f aca="false">IF(H822&gt;N(H821),$E822,0)</f>
        <v>0</v>
      </c>
      <c r="J822" s="79" t="n">
        <f aca="false">IFERROR(IF(AND($A822&lt;&gt;"",$E822&lt;&gt;"",$A822&gt;=PeriodStart,$A822&lt;=PeriodEnd),$E822+ROW()/1000000,0),0)</f>
        <v>0</v>
      </c>
    </row>
    <row r="823" customFormat="false" ht="15" hidden="false" customHeight="false" outlineLevel="0" collapsed="false">
      <c r="A823" s="75"/>
      <c r="B823" s="76"/>
      <c r="C823" s="77"/>
      <c r="D823" s="77"/>
      <c r="E823" s="78"/>
      <c r="F823" s="77"/>
      <c r="G823" s="77"/>
      <c r="H823" s="79" t="n">
        <f aca="false">N(H822)+IFERROR(IF(AND($A823&lt;&gt;"",$E823&lt;&gt;"",$A823&gt;=IF(Search!$E$4="",0,Search!$E$4),$A823&lt;=IF(Search!$E$5="",99999,Search!$E$5),OR(Search!$E$6="",ISNUMBER(SEARCH(Search!$E$6,$C823))),OR(Search!$E$7="All",Search!$E$7="",$D823=Search!$E$7),OR(Search!$E$8="",Search!$E$9="",AND($B823&lt;&gt;"",MOD($B823,1)&gt;=Search!$E$8,MOD($B823,1)&lt;=Search!$E$9))),1,0),0)</f>
        <v>0</v>
      </c>
      <c r="I823" s="79" t="n">
        <f aca="false">IF(H823&gt;N(H822),$E823,0)</f>
        <v>0</v>
      </c>
      <c r="J823" s="79" t="n">
        <f aca="false">IFERROR(IF(AND($A823&lt;&gt;"",$E823&lt;&gt;"",$A823&gt;=PeriodStart,$A823&lt;=PeriodEnd),$E823+ROW()/1000000,0),0)</f>
        <v>0</v>
      </c>
    </row>
    <row r="824" customFormat="false" ht="15" hidden="false" customHeight="false" outlineLevel="0" collapsed="false">
      <c r="A824" s="75"/>
      <c r="B824" s="76"/>
      <c r="C824" s="77"/>
      <c r="D824" s="77"/>
      <c r="E824" s="78"/>
      <c r="F824" s="77"/>
      <c r="G824" s="77"/>
      <c r="H824" s="79" t="n">
        <f aca="false">N(H823)+IFERROR(IF(AND($A824&lt;&gt;"",$E824&lt;&gt;"",$A824&gt;=IF(Search!$E$4="",0,Search!$E$4),$A824&lt;=IF(Search!$E$5="",99999,Search!$E$5),OR(Search!$E$6="",ISNUMBER(SEARCH(Search!$E$6,$C824))),OR(Search!$E$7="All",Search!$E$7="",$D824=Search!$E$7),OR(Search!$E$8="",Search!$E$9="",AND($B824&lt;&gt;"",MOD($B824,1)&gt;=Search!$E$8,MOD($B824,1)&lt;=Search!$E$9))),1,0),0)</f>
        <v>0</v>
      </c>
      <c r="I824" s="79" t="n">
        <f aca="false">IF(H824&gt;N(H823),$E824,0)</f>
        <v>0</v>
      </c>
      <c r="J824" s="79" t="n">
        <f aca="false">IFERROR(IF(AND($A824&lt;&gt;"",$E824&lt;&gt;"",$A824&gt;=PeriodStart,$A824&lt;=PeriodEnd),$E824+ROW()/1000000,0),0)</f>
        <v>0</v>
      </c>
    </row>
    <row r="825" customFormat="false" ht="15" hidden="false" customHeight="false" outlineLevel="0" collapsed="false">
      <c r="A825" s="75"/>
      <c r="B825" s="76"/>
      <c r="C825" s="77"/>
      <c r="D825" s="77"/>
      <c r="E825" s="78"/>
      <c r="F825" s="77"/>
      <c r="G825" s="77"/>
      <c r="H825" s="79" t="n">
        <f aca="false">N(H824)+IFERROR(IF(AND($A825&lt;&gt;"",$E825&lt;&gt;"",$A825&gt;=IF(Search!$E$4="",0,Search!$E$4),$A825&lt;=IF(Search!$E$5="",99999,Search!$E$5),OR(Search!$E$6="",ISNUMBER(SEARCH(Search!$E$6,$C825))),OR(Search!$E$7="All",Search!$E$7="",$D825=Search!$E$7),OR(Search!$E$8="",Search!$E$9="",AND($B825&lt;&gt;"",MOD($B825,1)&gt;=Search!$E$8,MOD($B825,1)&lt;=Search!$E$9))),1,0),0)</f>
        <v>0</v>
      </c>
      <c r="I825" s="79" t="n">
        <f aca="false">IF(H825&gt;N(H824),$E825,0)</f>
        <v>0</v>
      </c>
      <c r="J825" s="79" t="n">
        <f aca="false">IFERROR(IF(AND($A825&lt;&gt;"",$E825&lt;&gt;"",$A825&gt;=PeriodStart,$A825&lt;=PeriodEnd),$E825+ROW()/1000000,0),0)</f>
        <v>0</v>
      </c>
    </row>
    <row r="826" customFormat="false" ht="15" hidden="false" customHeight="false" outlineLevel="0" collapsed="false">
      <c r="A826" s="75"/>
      <c r="B826" s="76"/>
      <c r="C826" s="77"/>
      <c r="D826" s="77"/>
      <c r="E826" s="78"/>
      <c r="F826" s="77"/>
      <c r="G826" s="77"/>
      <c r="H826" s="79" t="n">
        <f aca="false">N(H825)+IFERROR(IF(AND($A826&lt;&gt;"",$E826&lt;&gt;"",$A826&gt;=IF(Search!$E$4="",0,Search!$E$4),$A826&lt;=IF(Search!$E$5="",99999,Search!$E$5),OR(Search!$E$6="",ISNUMBER(SEARCH(Search!$E$6,$C826))),OR(Search!$E$7="All",Search!$E$7="",$D826=Search!$E$7),OR(Search!$E$8="",Search!$E$9="",AND($B826&lt;&gt;"",MOD($B826,1)&gt;=Search!$E$8,MOD($B826,1)&lt;=Search!$E$9))),1,0),0)</f>
        <v>0</v>
      </c>
      <c r="I826" s="79" t="n">
        <f aca="false">IF(H826&gt;N(H825),$E826,0)</f>
        <v>0</v>
      </c>
      <c r="J826" s="79" t="n">
        <f aca="false">IFERROR(IF(AND($A826&lt;&gt;"",$E826&lt;&gt;"",$A826&gt;=PeriodStart,$A826&lt;=PeriodEnd),$E826+ROW()/1000000,0),0)</f>
        <v>0</v>
      </c>
    </row>
    <row r="827" customFormat="false" ht="15" hidden="false" customHeight="false" outlineLevel="0" collapsed="false">
      <c r="A827" s="75"/>
      <c r="B827" s="76"/>
      <c r="C827" s="77"/>
      <c r="D827" s="77"/>
      <c r="E827" s="78"/>
      <c r="F827" s="77"/>
      <c r="G827" s="77"/>
      <c r="H827" s="79" t="n">
        <f aca="false">N(H826)+IFERROR(IF(AND($A827&lt;&gt;"",$E827&lt;&gt;"",$A827&gt;=IF(Search!$E$4="",0,Search!$E$4),$A827&lt;=IF(Search!$E$5="",99999,Search!$E$5),OR(Search!$E$6="",ISNUMBER(SEARCH(Search!$E$6,$C827))),OR(Search!$E$7="All",Search!$E$7="",$D827=Search!$E$7),OR(Search!$E$8="",Search!$E$9="",AND($B827&lt;&gt;"",MOD($B827,1)&gt;=Search!$E$8,MOD($B827,1)&lt;=Search!$E$9))),1,0),0)</f>
        <v>0</v>
      </c>
      <c r="I827" s="79" t="n">
        <f aca="false">IF(H827&gt;N(H826),$E827,0)</f>
        <v>0</v>
      </c>
      <c r="J827" s="79" t="n">
        <f aca="false">IFERROR(IF(AND($A827&lt;&gt;"",$E827&lt;&gt;"",$A827&gt;=PeriodStart,$A827&lt;=PeriodEnd),$E827+ROW()/1000000,0),0)</f>
        <v>0</v>
      </c>
    </row>
    <row r="828" customFormat="false" ht="15" hidden="false" customHeight="false" outlineLevel="0" collapsed="false">
      <c r="A828" s="75"/>
      <c r="B828" s="76"/>
      <c r="C828" s="77"/>
      <c r="D828" s="77"/>
      <c r="E828" s="78"/>
      <c r="F828" s="77"/>
      <c r="G828" s="77"/>
      <c r="H828" s="79" t="n">
        <f aca="false">N(H827)+IFERROR(IF(AND($A828&lt;&gt;"",$E828&lt;&gt;"",$A828&gt;=IF(Search!$E$4="",0,Search!$E$4),$A828&lt;=IF(Search!$E$5="",99999,Search!$E$5),OR(Search!$E$6="",ISNUMBER(SEARCH(Search!$E$6,$C828))),OR(Search!$E$7="All",Search!$E$7="",$D828=Search!$E$7),OR(Search!$E$8="",Search!$E$9="",AND($B828&lt;&gt;"",MOD($B828,1)&gt;=Search!$E$8,MOD($B828,1)&lt;=Search!$E$9))),1,0),0)</f>
        <v>0</v>
      </c>
      <c r="I828" s="79" t="n">
        <f aca="false">IF(H828&gt;N(H827),$E828,0)</f>
        <v>0</v>
      </c>
      <c r="J828" s="79" t="n">
        <f aca="false">IFERROR(IF(AND($A828&lt;&gt;"",$E828&lt;&gt;"",$A828&gt;=PeriodStart,$A828&lt;=PeriodEnd),$E828+ROW()/1000000,0),0)</f>
        <v>0</v>
      </c>
    </row>
    <row r="829" customFormat="false" ht="15" hidden="false" customHeight="false" outlineLevel="0" collapsed="false">
      <c r="A829" s="75"/>
      <c r="B829" s="76"/>
      <c r="C829" s="77"/>
      <c r="D829" s="77"/>
      <c r="E829" s="78"/>
      <c r="F829" s="77"/>
      <c r="G829" s="77"/>
      <c r="H829" s="79" t="n">
        <f aca="false">N(H828)+IFERROR(IF(AND($A829&lt;&gt;"",$E829&lt;&gt;"",$A829&gt;=IF(Search!$E$4="",0,Search!$E$4),$A829&lt;=IF(Search!$E$5="",99999,Search!$E$5),OR(Search!$E$6="",ISNUMBER(SEARCH(Search!$E$6,$C829))),OR(Search!$E$7="All",Search!$E$7="",$D829=Search!$E$7),OR(Search!$E$8="",Search!$E$9="",AND($B829&lt;&gt;"",MOD($B829,1)&gt;=Search!$E$8,MOD($B829,1)&lt;=Search!$E$9))),1,0),0)</f>
        <v>0</v>
      </c>
      <c r="I829" s="79" t="n">
        <f aca="false">IF(H829&gt;N(H828),$E829,0)</f>
        <v>0</v>
      </c>
      <c r="J829" s="79" t="n">
        <f aca="false">IFERROR(IF(AND($A829&lt;&gt;"",$E829&lt;&gt;"",$A829&gt;=PeriodStart,$A829&lt;=PeriodEnd),$E829+ROW()/1000000,0),0)</f>
        <v>0</v>
      </c>
    </row>
    <row r="830" customFormat="false" ht="15" hidden="false" customHeight="false" outlineLevel="0" collapsed="false">
      <c r="A830" s="75"/>
      <c r="B830" s="76"/>
      <c r="C830" s="77"/>
      <c r="D830" s="77"/>
      <c r="E830" s="78"/>
      <c r="F830" s="77"/>
      <c r="G830" s="77"/>
      <c r="H830" s="79" t="n">
        <f aca="false">N(H829)+IFERROR(IF(AND($A830&lt;&gt;"",$E830&lt;&gt;"",$A830&gt;=IF(Search!$E$4="",0,Search!$E$4),$A830&lt;=IF(Search!$E$5="",99999,Search!$E$5),OR(Search!$E$6="",ISNUMBER(SEARCH(Search!$E$6,$C830))),OR(Search!$E$7="All",Search!$E$7="",$D830=Search!$E$7),OR(Search!$E$8="",Search!$E$9="",AND($B830&lt;&gt;"",MOD($B830,1)&gt;=Search!$E$8,MOD($B830,1)&lt;=Search!$E$9))),1,0),0)</f>
        <v>0</v>
      </c>
      <c r="I830" s="79" t="n">
        <f aca="false">IF(H830&gt;N(H829),$E830,0)</f>
        <v>0</v>
      </c>
      <c r="J830" s="79" t="n">
        <f aca="false">IFERROR(IF(AND($A830&lt;&gt;"",$E830&lt;&gt;"",$A830&gt;=PeriodStart,$A830&lt;=PeriodEnd),$E830+ROW()/1000000,0),0)</f>
        <v>0</v>
      </c>
    </row>
    <row r="831" customFormat="false" ht="15" hidden="false" customHeight="false" outlineLevel="0" collapsed="false">
      <c r="A831" s="75"/>
      <c r="B831" s="76"/>
      <c r="C831" s="77"/>
      <c r="D831" s="77"/>
      <c r="E831" s="78"/>
      <c r="F831" s="77"/>
      <c r="G831" s="77"/>
      <c r="H831" s="79" t="n">
        <f aca="false">N(H830)+IFERROR(IF(AND($A831&lt;&gt;"",$E831&lt;&gt;"",$A831&gt;=IF(Search!$E$4="",0,Search!$E$4),$A831&lt;=IF(Search!$E$5="",99999,Search!$E$5),OR(Search!$E$6="",ISNUMBER(SEARCH(Search!$E$6,$C831))),OR(Search!$E$7="All",Search!$E$7="",$D831=Search!$E$7),OR(Search!$E$8="",Search!$E$9="",AND($B831&lt;&gt;"",MOD($B831,1)&gt;=Search!$E$8,MOD($B831,1)&lt;=Search!$E$9))),1,0),0)</f>
        <v>0</v>
      </c>
      <c r="I831" s="79" t="n">
        <f aca="false">IF(H831&gt;N(H830),$E831,0)</f>
        <v>0</v>
      </c>
      <c r="J831" s="79" t="n">
        <f aca="false">IFERROR(IF(AND($A831&lt;&gt;"",$E831&lt;&gt;"",$A831&gt;=PeriodStart,$A831&lt;=PeriodEnd),$E831+ROW()/1000000,0),0)</f>
        <v>0</v>
      </c>
    </row>
    <row r="832" customFormat="false" ht="15" hidden="false" customHeight="false" outlineLevel="0" collapsed="false">
      <c r="A832" s="75"/>
      <c r="B832" s="76"/>
      <c r="C832" s="77"/>
      <c r="D832" s="77"/>
      <c r="E832" s="78"/>
      <c r="F832" s="77"/>
      <c r="G832" s="77"/>
      <c r="H832" s="79" t="n">
        <f aca="false">N(H831)+IFERROR(IF(AND($A832&lt;&gt;"",$E832&lt;&gt;"",$A832&gt;=IF(Search!$E$4="",0,Search!$E$4),$A832&lt;=IF(Search!$E$5="",99999,Search!$E$5),OR(Search!$E$6="",ISNUMBER(SEARCH(Search!$E$6,$C832))),OR(Search!$E$7="All",Search!$E$7="",$D832=Search!$E$7),OR(Search!$E$8="",Search!$E$9="",AND($B832&lt;&gt;"",MOD($B832,1)&gt;=Search!$E$8,MOD($B832,1)&lt;=Search!$E$9))),1,0),0)</f>
        <v>0</v>
      </c>
      <c r="I832" s="79" t="n">
        <f aca="false">IF(H832&gt;N(H831),$E832,0)</f>
        <v>0</v>
      </c>
      <c r="J832" s="79" t="n">
        <f aca="false">IFERROR(IF(AND($A832&lt;&gt;"",$E832&lt;&gt;"",$A832&gt;=PeriodStart,$A832&lt;=PeriodEnd),$E832+ROW()/1000000,0),0)</f>
        <v>0</v>
      </c>
    </row>
    <row r="833" customFormat="false" ht="15" hidden="false" customHeight="false" outlineLevel="0" collapsed="false">
      <c r="A833" s="75"/>
      <c r="B833" s="76"/>
      <c r="C833" s="77"/>
      <c r="D833" s="77"/>
      <c r="E833" s="78"/>
      <c r="F833" s="77"/>
      <c r="G833" s="77"/>
      <c r="H833" s="79" t="n">
        <f aca="false">N(H832)+IFERROR(IF(AND($A833&lt;&gt;"",$E833&lt;&gt;"",$A833&gt;=IF(Search!$E$4="",0,Search!$E$4),$A833&lt;=IF(Search!$E$5="",99999,Search!$E$5),OR(Search!$E$6="",ISNUMBER(SEARCH(Search!$E$6,$C833))),OR(Search!$E$7="All",Search!$E$7="",$D833=Search!$E$7),OR(Search!$E$8="",Search!$E$9="",AND($B833&lt;&gt;"",MOD($B833,1)&gt;=Search!$E$8,MOD($B833,1)&lt;=Search!$E$9))),1,0),0)</f>
        <v>0</v>
      </c>
      <c r="I833" s="79" t="n">
        <f aca="false">IF(H833&gt;N(H832),$E833,0)</f>
        <v>0</v>
      </c>
      <c r="J833" s="79" t="n">
        <f aca="false">IFERROR(IF(AND($A833&lt;&gt;"",$E833&lt;&gt;"",$A833&gt;=PeriodStart,$A833&lt;=PeriodEnd),$E833+ROW()/1000000,0),0)</f>
        <v>0</v>
      </c>
    </row>
    <row r="834" customFormat="false" ht="15" hidden="false" customHeight="false" outlineLevel="0" collapsed="false">
      <c r="A834" s="75"/>
      <c r="B834" s="76"/>
      <c r="C834" s="77"/>
      <c r="D834" s="77"/>
      <c r="E834" s="78"/>
      <c r="F834" s="77"/>
      <c r="G834" s="77"/>
      <c r="H834" s="79" t="n">
        <f aca="false">N(H833)+IFERROR(IF(AND($A834&lt;&gt;"",$E834&lt;&gt;"",$A834&gt;=IF(Search!$E$4="",0,Search!$E$4),$A834&lt;=IF(Search!$E$5="",99999,Search!$E$5),OR(Search!$E$6="",ISNUMBER(SEARCH(Search!$E$6,$C834))),OR(Search!$E$7="All",Search!$E$7="",$D834=Search!$E$7),OR(Search!$E$8="",Search!$E$9="",AND($B834&lt;&gt;"",MOD($B834,1)&gt;=Search!$E$8,MOD($B834,1)&lt;=Search!$E$9))),1,0),0)</f>
        <v>0</v>
      </c>
      <c r="I834" s="79" t="n">
        <f aca="false">IF(H834&gt;N(H833),$E834,0)</f>
        <v>0</v>
      </c>
      <c r="J834" s="79" t="n">
        <f aca="false">IFERROR(IF(AND($A834&lt;&gt;"",$E834&lt;&gt;"",$A834&gt;=PeriodStart,$A834&lt;=PeriodEnd),$E834+ROW()/1000000,0),0)</f>
        <v>0</v>
      </c>
    </row>
    <row r="835" customFormat="false" ht="15" hidden="false" customHeight="false" outlineLevel="0" collapsed="false">
      <c r="A835" s="75"/>
      <c r="B835" s="76"/>
      <c r="C835" s="77"/>
      <c r="D835" s="77"/>
      <c r="E835" s="78"/>
      <c r="F835" s="77"/>
      <c r="G835" s="77"/>
      <c r="H835" s="79" t="n">
        <f aca="false">N(H834)+IFERROR(IF(AND($A835&lt;&gt;"",$E835&lt;&gt;"",$A835&gt;=IF(Search!$E$4="",0,Search!$E$4),$A835&lt;=IF(Search!$E$5="",99999,Search!$E$5),OR(Search!$E$6="",ISNUMBER(SEARCH(Search!$E$6,$C835))),OR(Search!$E$7="All",Search!$E$7="",$D835=Search!$E$7),OR(Search!$E$8="",Search!$E$9="",AND($B835&lt;&gt;"",MOD($B835,1)&gt;=Search!$E$8,MOD($B835,1)&lt;=Search!$E$9))),1,0),0)</f>
        <v>0</v>
      </c>
      <c r="I835" s="79" t="n">
        <f aca="false">IF(H835&gt;N(H834),$E835,0)</f>
        <v>0</v>
      </c>
      <c r="J835" s="79" t="n">
        <f aca="false">IFERROR(IF(AND($A835&lt;&gt;"",$E835&lt;&gt;"",$A835&gt;=PeriodStart,$A835&lt;=PeriodEnd),$E835+ROW()/1000000,0),0)</f>
        <v>0</v>
      </c>
    </row>
    <row r="836" customFormat="false" ht="15" hidden="false" customHeight="false" outlineLevel="0" collapsed="false">
      <c r="A836" s="75"/>
      <c r="B836" s="76"/>
      <c r="C836" s="77"/>
      <c r="D836" s="77"/>
      <c r="E836" s="78"/>
      <c r="F836" s="77"/>
      <c r="G836" s="77"/>
      <c r="H836" s="79" t="n">
        <f aca="false">N(H835)+IFERROR(IF(AND($A836&lt;&gt;"",$E836&lt;&gt;"",$A836&gt;=IF(Search!$E$4="",0,Search!$E$4),$A836&lt;=IF(Search!$E$5="",99999,Search!$E$5),OR(Search!$E$6="",ISNUMBER(SEARCH(Search!$E$6,$C836))),OR(Search!$E$7="All",Search!$E$7="",$D836=Search!$E$7),OR(Search!$E$8="",Search!$E$9="",AND($B836&lt;&gt;"",MOD($B836,1)&gt;=Search!$E$8,MOD($B836,1)&lt;=Search!$E$9))),1,0),0)</f>
        <v>0</v>
      </c>
      <c r="I836" s="79" t="n">
        <f aca="false">IF(H836&gt;N(H835),$E836,0)</f>
        <v>0</v>
      </c>
      <c r="J836" s="79" t="n">
        <f aca="false">IFERROR(IF(AND($A836&lt;&gt;"",$E836&lt;&gt;"",$A836&gt;=PeriodStart,$A836&lt;=PeriodEnd),$E836+ROW()/1000000,0),0)</f>
        <v>0</v>
      </c>
    </row>
    <row r="837" customFormat="false" ht="15" hidden="false" customHeight="false" outlineLevel="0" collapsed="false">
      <c r="A837" s="75"/>
      <c r="B837" s="76"/>
      <c r="C837" s="77"/>
      <c r="D837" s="77"/>
      <c r="E837" s="78"/>
      <c r="F837" s="77"/>
      <c r="G837" s="77"/>
      <c r="H837" s="79" t="n">
        <f aca="false">N(H836)+IFERROR(IF(AND($A837&lt;&gt;"",$E837&lt;&gt;"",$A837&gt;=IF(Search!$E$4="",0,Search!$E$4),$A837&lt;=IF(Search!$E$5="",99999,Search!$E$5),OR(Search!$E$6="",ISNUMBER(SEARCH(Search!$E$6,$C837))),OR(Search!$E$7="All",Search!$E$7="",$D837=Search!$E$7),OR(Search!$E$8="",Search!$E$9="",AND($B837&lt;&gt;"",MOD($B837,1)&gt;=Search!$E$8,MOD($B837,1)&lt;=Search!$E$9))),1,0),0)</f>
        <v>0</v>
      </c>
      <c r="I837" s="79" t="n">
        <f aca="false">IF(H837&gt;N(H836),$E837,0)</f>
        <v>0</v>
      </c>
      <c r="J837" s="79" t="n">
        <f aca="false">IFERROR(IF(AND($A837&lt;&gt;"",$E837&lt;&gt;"",$A837&gt;=PeriodStart,$A837&lt;=PeriodEnd),$E837+ROW()/1000000,0),0)</f>
        <v>0</v>
      </c>
    </row>
    <row r="838" customFormat="false" ht="15" hidden="false" customHeight="false" outlineLevel="0" collapsed="false">
      <c r="A838" s="75"/>
      <c r="B838" s="76"/>
      <c r="C838" s="77"/>
      <c r="D838" s="77"/>
      <c r="E838" s="78"/>
      <c r="F838" s="77"/>
      <c r="G838" s="77"/>
      <c r="H838" s="79" t="n">
        <f aca="false">N(H837)+IFERROR(IF(AND($A838&lt;&gt;"",$E838&lt;&gt;"",$A838&gt;=IF(Search!$E$4="",0,Search!$E$4),$A838&lt;=IF(Search!$E$5="",99999,Search!$E$5),OR(Search!$E$6="",ISNUMBER(SEARCH(Search!$E$6,$C838))),OR(Search!$E$7="All",Search!$E$7="",$D838=Search!$E$7),OR(Search!$E$8="",Search!$E$9="",AND($B838&lt;&gt;"",MOD($B838,1)&gt;=Search!$E$8,MOD($B838,1)&lt;=Search!$E$9))),1,0),0)</f>
        <v>0</v>
      </c>
      <c r="I838" s="79" t="n">
        <f aca="false">IF(H838&gt;N(H837),$E838,0)</f>
        <v>0</v>
      </c>
      <c r="J838" s="79" t="n">
        <f aca="false">IFERROR(IF(AND($A838&lt;&gt;"",$E838&lt;&gt;"",$A838&gt;=PeriodStart,$A838&lt;=PeriodEnd),$E838+ROW()/1000000,0),0)</f>
        <v>0</v>
      </c>
    </row>
    <row r="839" customFormat="false" ht="15" hidden="false" customHeight="false" outlineLevel="0" collapsed="false">
      <c r="A839" s="75"/>
      <c r="B839" s="76"/>
      <c r="C839" s="77"/>
      <c r="D839" s="77"/>
      <c r="E839" s="78"/>
      <c r="F839" s="77"/>
      <c r="G839" s="77"/>
      <c r="H839" s="79" t="n">
        <f aca="false">N(H838)+IFERROR(IF(AND($A839&lt;&gt;"",$E839&lt;&gt;"",$A839&gt;=IF(Search!$E$4="",0,Search!$E$4),$A839&lt;=IF(Search!$E$5="",99999,Search!$E$5),OR(Search!$E$6="",ISNUMBER(SEARCH(Search!$E$6,$C839))),OR(Search!$E$7="All",Search!$E$7="",$D839=Search!$E$7),OR(Search!$E$8="",Search!$E$9="",AND($B839&lt;&gt;"",MOD($B839,1)&gt;=Search!$E$8,MOD($B839,1)&lt;=Search!$E$9))),1,0),0)</f>
        <v>0</v>
      </c>
      <c r="I839" s="79" t="n">
        <f aca="false">IF(H839&gt;N(H838),$E839,0)</f>
        <v>0</v>
      </c>
      <c r="J839" s="79" t="n">
        <f aca="false">IFERROR(IF(AND($A839&lt;&gt;"",$E839&lt;&gt;"",$A839&gt;=PeriodStart,$A839&lt;=PeriodEnd),$E839+ROW()/1000000,0),0)</f>
        <v>0</v>
      </c>
    </row>
    <row r="840" customFormat="false" ht="15" hidden="false" customHeight="false" outlineLevel="0" collapsed="false">
      <c r="A840" s="75"/>
      <c r="B840" s="76"/>
      <c r="C840" s="77"/>
      <c r="D840" s="77"/>
      <c r="E840" s="78"/>
      <c r="F840" s="77"/>
      <c r="G840" s="77"/>
      <c r="H840" s="79" t="n">
        <f aca="false">N(H839)+IFERROR(IF(AND($A840&lt;&gt;"",$E840&lt;&gt;"",$A840&gt;=IF(Search!$E$4="",0,Search!$E$4),$A840&lt;=IF(Search!$E$5="",99999,Search!$E$5),OR(Search!$E$6="",ISNUMBER(SEARCH(Search!$E$6,$C840))),OR(Search!$E$7="All",Search!$E$7="",$D840=Search!$E$7),OR(Search!$E$8="",Search!$E$9="",AND($B840&lt;&gt;"",MOD($B840,1)&gt;=Search!$E$8,MOD($B840,1)&lt;=Search!$E$9))),1,0),0)</f>
        <v>0</v>
      </c>
      <c r="I840" s="79" t="n">
        <f aca="false">IF(H840&gt;N(H839),$E840,0)</f>
        <v>0</v>
      </c>
      <c r="J840" s="79" t="n">
        <f aca="false">IFERROR(IF(AND($A840&lt;&gt;"",$E840&lt;&gt;"",$A840&gt;=PeriodStart,$A840&lt;=PeriodEnd),$E840+ROW()/1000000,0),0)</f>
        <v>0</v>
      </c>
    </row>
    <row r="841" customFormat="false" ht="15" hidden="false" customHeight="false" outlineLevel="0" collapsed="false">
      <c r="A841" s="75"/>
      <c r="B841" s="76"/>
      <c r="C841" s="77"/>
      <c r="D841" s="77"/>
      <c r="E841" s="78"/>
      <c r="F841" s="77"/>
      <c r="G841" s="77"/>
      <c r="H841" s="79" t="n">
        <f aca="false">N(H840)+IFERROR(IF(AND($A841&lt;&gt;"",$E841&lt;&gt;"",$A841&gt;=IF(Search!$E$4="",0,Search!$E$4),$A841&lt;=IF(Search!$E$5="",99999,Search!$E$5),OR(Search!$E$6="",ISNUMBER(SEARCH(Search!$E$6,$C841))),OR(Search!$E$7="All",Search!$E$7="",$D841=Search!$E$7),OR(Search!$E$8="",Search!$E$9="",AND($B841&lt;&gt;"",MOD($B841,1)&gt;=Search!$E$8,MOD($B841,1)&lt;=Search!$E$9))),1,0),0)</f>
        <v>0</v>
      </c>
      <c r="I841" s="79" t="n">
        <f aca="false">IF(H841&gt;N(H840),$E841,0)</f>
        <v>0</v>
      </c>
      <c r="J841" s="79" t="n">
        <f aca="false">IFERROR(IF(AND($A841&lt;&gt;"",$E841&lt;&gt;"",$A841&gt;=PeriodStart,$A841&lt;=PeriodEnd),$E841+ROW()/1000000,0),0)</f>
        <v>0</v>
      </c>
    </row>
    <row r="842" customFormat="false" ht="15" hidden="false" customHeight="false" outlineLevel="0" collapsed="false">
      <c r="A842" s="75"/>
      <c r="B842" s="76"/>
      <c r="C842" s="77"/>
      <c r="D842" s="77"/>
      <c r="E842" s="78"/>
      <c r="F842" s="77"/>
      <c r="G842" s="77"/>
      <c r="H842" s="79" t="n">
        <f aca="false">N(H841)+IFERROR(IF(AND($A842&lt;&gt;"",$E842&lt;&gt;"",$A842&gt;=IF(Search!$E$4="",0,Search!$E$4),$A842&lt;=IF(Search!$E$5="",99999,Search!$E$5),OR(Search!$E$6="",ISNUMBER(SEARCH(Search!$E$6,$C842))),OR(Search!$E$7="All",Search!$E$7="",$D842=Search!$E$7),OR(Search!$E$8="",Search!$E$9="",AND($B842&lt;&gt;"",MOD($B842,1)&gt;=Search!$E$8,MOD($B842,1)&lt;=Search!$E$9))),1,0),0)</f>
        <v>0</v>
      </c>
      <c r="I842" s="79" t="n">
        <f aca="false">IF(H842&gt;N(H841),$E842,0)</f>
        <v>0</v>
      </c>
      <c r="J842" s="79" t="n">
        <f aca="false">IFERROR(IF(AND($A842&lt;&gt;"",$E842&lt;&gt;"",$A842&gt;=PeriodStart,$A842&lt;=PeriodEnd),$E842+ROW()/1000000,0),0)</f>
        <v>0</v>
      </c>
    </row>
    <row r="843" customFormat="false" ht="15" hidden="false" customHeight="false" outlineLevel="0" collapsed="false">
      <c r="A843" s="75"/>
      <c r="B843" s="76"/>
      <c r="C843" s="77"/>
      <c r="D843" s="77"/>
      <c r="E843" s="78"/>
      <c r="F843" s="77"/>
      <c r="G843" s="77"/>
      <c r="H843" s="79" t="n">
        <f aca="false">N(H842)+IFERROR(IF(AND($A843&lt;&gt;"",$E843&lt;&gt;"",$A843&gt;=IF(Search!$E$4="",0,Search!$E$4),$A843&lt;=IF(Search!$E$5="",99999,Search!$E$5),OR(Search!$E$6="",ISNUMBER(SEARCH(Search!$E$6,$C843))),OR(Search!$E$7="All",Search!$E$7="",$D843=Search!$E$7),OR(Search!$E$8="",Search!$E$9="",AND($B843&lt;&gt;"",MOD($B843,1)&gt;=Search!$E$8,MOD($B843,1)&lt;=Search!$E$9))),1,0),0)</f>
        <v>0</v>
      </c>
      <c r="I843" s="79" t="n">
        <f aca="false">IF(H843&gt;N(H842),$E843,0)</f>
        <v>0</v>
      </c>
      <c r="J843" s="79" t="n">
        <f aca="false">IFERROR(IF(AND($A843&lt;&gt;"",$E843&lt;&gt;"",$A843&gt;=PeriodStart,$A843&lt;=PeriodEnd),$E843+ROW()/1000000,0),0)</f>
        <v>0</v>
      </c>
    </row>
    <row r="844" customFormat="false" ht="15" hidden="false" customHeight="false" outlineLevel="0" collapsed="false">
      <c r="A844" s="75"/>
      <c r="B844" s="76"/>
      <c r="C844" s="77"/>
      <c r="D844" s="77"/>
      <c r="E844" s="78"/>
      <c r="F844" s="77"/>
      <c r="G844" s="77"/>
      <c r="H844" s="79" t="n">
        <f aca="false">N(H843)+IFERROR(IF(AND($A844&lt;&gt;"",$E844&lt;&gt;"",$A844&gt;=IF(Search!$E$4="",0,Search!$E$4),$A844&lt;=IF(Search!$E$5="",99999,Search!$E$5),OR(Search!$E$6="",ISNUMBER(SEARCH(Search!$E$6,$C844))),OR(Search!$E$7="All",Search!$E$7="",$D844=Search!$E$7),OR(Search!$E$8="",Search!$E$9="",AND($B844&lt;&gt;"",MOD($B844,1)&gt;=Search!$E$8,MOD($B844,1)&lt;=Search!$E$9))),1,0),0)</f>
        <v>0</v>
      </c>
      <c r="I844" s="79" t="n">
        <f aca="false">IF(H844&gt;N(H843),$E844,0)</f>
        <v>0</v>
      </c>
      <c r="J844" s="79" t="n">
        <f aca="false">IFERROR(IF(AND($A844&lt;&gt;"",$E844&lt;&gt;"",$A844&gt;=PeriodStart,$A844&lt;=PeriodEnd),$E844+ROW()/1000000,0),0)</f>
        <v>0</v>
      </c>
    </row>
    <row r="845" customFormat="false" ht="15" hidden="false" customHeight="false" outlineLevel="0" collapsed="false">
      <c r="A845" s="75"/>
      <c r="B845" s="76"/>
      <c r="C845" s="77"/>
      <c r="D845" s="77"/>
      <c r="E845" s="78"/>
      <c r="F845" s="77"/>
      <c r="G845" s="77"/>
      <c r="H845" s="79" t="n">
        <f aca="false">N(H844)+IFERROR(IF(AND($A845&lt;&gt;"",$E845&lt;&gt;"",$A845&gt;=IF(Search!$E$4="",0,Search!$E$4),$A845&lt;=IF(Search!$E$5="",99999,Search!$E$5),OR(Search!$E$6="",ISNUMBER(SEARCH(Search!$E$6,$C845))),OR(Search!$E$7="All",Search!$E$7="",$D845=Search!$E$7),OR(Search!$E$8="",Search!$E$9="",AND($B845&lt;&gt;"",MOD($B845,1)&gt;=Search!$E$8,MOD($B845,1)&lt;=Search!$E$9))),1,0),0)</f>
        <v>0</v>
      </c>
      <c r="I845" s="79" t="n">
        <f aca="false">IF(H845&gt;N(H844),$E845,0)</f>
        <v>0</v>
      </c>
      <c r="J845" s="79" t="n">
        <f aca="false">IFERROR(IF(AND($A845&lt;&gt;"",$E845&lt;&gt;"",$A845&gt;=PeriodStart,$A845&lt;=PeriodEnd),$E845+ROW()/1000000,0),0)</f>
        <v>0</v>
      </c>
    </row>
    <row r="846" customFormat="false" ht="15" hidden="false" customHeight="false" outlineLevel="0" collapsed="false">
      <c r="A846" s="75"/>
      <c r="B846" s="76"/>
      <c r="C846" s="77"/>
      <c r="D846" s="77"/>
      <c r="E846" s="78"/>
      <c r="F846" s="77"/>
      <c r="G846" s="77"/>
      <c r="H846" s="79" t="n">
        <f aca="false">N(H845)+IFERROR(IF(AND($A846&lt;&gt;"",$E846&lt;&gt;"",$A846&gt;=IF(Search!$E$4="",0,Search!$E$4),$A846&lt;=IF(Search!$E$5="",99999,Search!$E$5),OR(Search!$E$6="",ISNUMBER(SEARCH(Search!$E$6,$C846))),OR(Search!$E$7="All",Search!$E$7="",$D846=Search!$E$7),OR(Search!$E$8="",Search!$E$9="",AND($B846&lt;&gt;"",MOD($B846,1)&gt;=Search!$E$8,MOD($B846,1)&lt;=Search!$E$9))),1,0),0)</f>
        <v>0</v>
      </c>
      <c r="I846" s="79" t="n">
        <f aca="false">IF(H846&gt;N(H845),$E846,0)</f>
        <v>0</v>
      </c>
      <c r="J846" s="79" t="n">
        <f aca="false">IFERROR(IF(AND($A846&lt;&gt;"",$E846&lt;&gt;"",$A846&gt;=PeriodStart,$A846&lt;=PeriodEnd),$E846+ROW()/1000000,0),0)</f>
        <v>0</v>
      </c>
    </row>
    <row r="847" customFormat="false" ht="15" hidden="false" customHeight="false" outlineLevel="0" collapsed="false">
      <c r="A847" s="75"/>
      <c r="B847" s="76"/>
      <c r="C847" s="77"/>
      <c r="D847" s="77"/>
      <c r="E847" s="78"/>
      <c r="F847" s="77"/>
      <c r="G847" s="77"/>
      <c r="H847" s="79" t="n">
        <f aca="false">N(H846)+IFERROR(IF(AND($A847&lt;&gt;"",$E847&lt;&gt;"",$A847&gt;=IF(Search!$E$4="",0,Search!$E$4),$A847&lt;=IF(Search!$E$5="",99999,Search!$E$5),OR(Search!$E$6="",ISNUMBER(SEARCH(Search!$E$6,$C847))),OR(Search!$E$7="All",Search!$E$7="",$D847=Search!$E$7),OR(Search!$E$8="",Search!$E$9="",AND($B847&lt;&gt;"",MOD($B847,1)&gt;=Search!$E$8,MOD($B847,1)&lt;=Search!$E$9))),1,0),0)</f>
        <v>0</v>
      </c>
      <c r="I847" s="79" t="n">
        <f aca="false">IF(H847&gt;N(H846),$E847,0)</f>
        <v>0</v>
      </c>
      <c r="J847" s="79" t="n">
        <f aca="false">IFERROR(IF(AND($A847&lt;&gt;"",$E847&lt;&gt;"",$A847&gt;=PeriodStart,$A847&lt;=PeriodEnd),$E847+ROW()/1000000,0),0)</f>
        <v>0</v>
      </c>
    </row>
    <row r="848" customFormat="false" ht="15" hidden="false" customHeight="false" outlineLevel="0" collapsed="false">
      <c r="A848" s="75"/>
      <c r="B848" s="76"/>
      <c r="C848" s="77"/>
      <c r="D848" s="77"/>
      <c r="E848" s="78"/>
      <c r="F848" s="77"/>
      <c r="G848" s="77"/>
      <c r="H848" s="79" t="n">
        <f aca="false">N(H847)+IFERROR(IF(AND($A848&lt;&gt;"",$E848&lt;&gt;"",$A848&gt;=IF(Search!$E$4="",0,Search!$E$4),$A848&lt;=IF(Search!$E$5="",99999,Search!$E$5),OR(Search!$E$6="",ISNUMBER(SEARCH(Search!$E$6,$C848))),OR(Search!$E$7="All",Search!$E$7="",$D848=Search!$E$7),OR(Search!$E$8="",Search!$E$9="",AND($B848&lt;&gt;"",MOD($B848,1)&gt;=Search!$E$8,MOD($B848,1)&lt;=Search!$E$9))),1,0),0)</f>
        <v>0</v>
      </c>
      <c r="I848" s="79" t="n">
        <f aca="false">IF(H848&gt;N(H847),$E848,0)</f>
        <v>0</v>
      </c>
      <c r="J848" s="79" t="n">
        <f aca="false">IFERROR(IF(AND($A848&lt;&gt;"",$E848&lt;&gt;"",$A848&gt;=PeriodStart,$A848&lt;=PeriodEnd),$E848+ROW()/1000000,0),0)</f>
        <v>0</v>
      </c>
    </row>
    <row r="849" customFormat="false" ht="15" hidden="false" customHeight="false" outlineLevel="0" collapsed="false">
      <c r="A849" s="75"/>
      <c r="B849" s="76"/>
      <c r="C849" s="77"/>
      <c r="D849" s="77"/>
      <c r="E849" s="78"/>
      <c r="F849" s="77"/>
      <c r="G849" s="77"/>
      <c r="H849" s="79" t="n">
        <f aca="false">N(H848)+IFERROR(IF(AND($A849&lt;&gt;"",$E849&lt;&gt;"",$A849&gt;=IF(Search!$E$4="",0,Search!$E$4),$A849&lt;=IF(Search!$E$5="",99999,Search!$E$5),OR(Search!$E$6="",ISNUMBER(SEARCH(Search!$E$6,$C849))),OR(Search!$E$7="All",Search!$E$7="",$D849=Search!$E$7),OR(Search!$E$8="",Search!$E$9="",AND($B849&lt;&gt;"",MOD($B849,1)&gt;=Search!$E$8,MOD($B849,1)&lt;=Search!$E$9))),1,0),0)</f>
        <v>0</v>
      </c>
      <c r="I849" s="79" t="n">
        <f aca="false">IF(H849&gt;N(H848),$E849,0)</f>
        <v>0</v>
      </c>
      <c r="J849" s="79" t="n">
        <f aca="false">IFERROR(IF(AND($A849&lt;&gt;"",$E849&lt;&gt;"",$A849&gt;=PeriodStart,$A849&lt;=PeriodEnd),$E849+ROW()/1000000,0),0)</f>
        <v>0</v>
      </c>
    </row>
    <row r="850" customFormat="false" ht="15" hidden="false" customHeight="false" outlineLevel="0" collapsed="false">
      <c r="A850" s="75"/>
      <c r="B850" s="76"/>
      <c r="C850" s="77"/>
      <c r="D850" s="77"/>
      <c r="E850" s="78"/>
      <c r="F850" s="77"/>
      <c r="G850" s="77"/>
      <c r="H850" s="79" t="n">
        <f aca="false">N(H849)+IFERROR(IF(AND($A850&lt;&gt;"",$E850&lt;&gt;"",$A850&gt;=IF(Search!$E$4="",0,Search!$E$4),$A850&lt;=IF(Search!$E$5="",99999,Search!$E$5),OR(Search!$E$6="",ISNUMBER(SEARCH(Search!$E$6,$C850))),OR(Search!$E$7="All",Search!$E$7="",$D850=Search!$E$7),OR(Search!$E$8="",Search!$E$9="",AND($B850&lt;&gt;"",MOD($B850,1)&gt;=Search!$E$8,MOD($B850,1)&lt;=Search!$E$9))),1,0),0)</f>
        <v>0</v>
      </c>
      <c r="I850" s="79" t="n">
        <f aca="false">IF(H850&gt;N(H849),$E850,0)</f>
        <v>0</v>
      </c>
      <c r="J850" s="79" t="n">
        <f aca="false">IFERROR(IF(AND($A850&lt;&gt;"",$E850&lt;&gt;"",$A850&gt;=PeriodStart,$A850&lt;=PeriodEnd),$E850+ROW()/1000000,0),0)</f>
        <v>0</v>
      </c>
    </row>
    <row r="851" customFormat="false" ht="15" hidden="false" customHeight="false" outlineLevel="0" collapsed="false">
      <c r="A851" s="75"/>
      <c r="B851" s="76"/>
      <c r="C851" s="77"/>
      <c r="D851" s="77"/>
      <c r="E851" s="78"/>
      <c r="F851" s="77"/>
      <c r="G851" s="77"/>
      <c r="H851" s="79" t="n">
        <f aca="false">N(H850)+IFERROR(IF(AND($A851&lt;&gt;"",$E851&lt;&gt;"",$A851&gt;=IF(Search!$E$4="",0,Search!$E$4),$A851&lt;=IF(Search!$E$5="",99999,Search!$E$5),OR(Search!$E$6="",ISNUMBER(SEARCH(Search!$E$6,$C851))),OR(Search!$E$7="All",Search!$E$7="",$D851=Search!$E$7),OR(Search!$E$8="",Search!$E$9="",AND($B851&lt;&gt;"",MOD($B851,1)&gt;=Search!$E$8,MOD($B851,1)&lt;=Search!$E$9))),1,0),0)</f>
        <v>0</v>
      </c>
      <c r="I851" s="79" t="n">
        <f aca="false">IF(H851&gt;N(H850),$E851,0)</f>
        <v>0</v>
      </c>
      <c r="J851" s="79" t="n">
        <f aca="false">IFERROR(IF(AND($A851&lt;&gt;"",$E851&lt;&gt;"",$A851&gt;=PeriodStart,$A851&lt;=PeriodEnd),$E851+ROW()/1000000,0),0)</f>
        <v>0</v>
      </c>
    </row>
    <row r="852" customFormat="false" ht="15" hidden="false" customHeight="false" outlineLevel="0" collapsed="false">
      <c r="A852" s="75"/>
      <c r="B852" s="76"/>
      <c r="C852" s="77"/>
      <c r="D852" s="77"/>
      <c r="E852" s="78"/>
      <c r="F852" s="77"/>
      <c r="G852" s="77"/>
      <c r="H852" s="79" t="n">
        <f aca="false">N(H851)+IFERROR(IF(AND($A852&lt;&gt;"",$E852&lt;&gt;"",$A852&gt;=IF(Search!$E$4="",0,Search!$E$4),$A852&lt;=IF(Search!$E$5="",99999,Search!$E$5),OR(Search!$E$6="",ISNUMBER(SEARCH(Search!$E$6,$C852))),OR(Search!$E$7="All",Search!$E$7="",$D852=Search!$E$7),OR(Search!$E$8="",Search!$E$9="",AND($B852&lt;&gt;"",MOD($B852,1)&gt;=Search!$E$8,MOD($B852,1)&lt;=Search!$E$9))),1,0),0)</f>
        <v>0</v>
      </c>
      <c r="I852" s="79" t="n">
        <f aca="false">IF(H852&gt;N(H851),$E852,0)</f>
        <v>0</v>
      </c>
      <c r="J852" s="79" t="n">
        <f aca="false">IFERROR(IF(AND($A852&lt;&gt;"",$E852&lt;&gt;"",$A852&gt;=PeriodStart,$A852&lt;=PeriodEnd),$E852+ROW()/1000000,0),0)</f>
        <v>0</v>
      </c>
    </row>
    <row r="853" customFormat="false" ht="15" hidden="false" customHeight="false" outlineLevel="0" collapsed="false">
      <c r="A853" s="75"/>
      <c r="B853" s="76"/>
      <c r="C853" s="77"/>
      <c r="D853" s="77"/>
      <c r="E853" s="78"/>
      <c r="F853" s="77"/>
      <c r="G853" s="77"/>
      <c r="H853" s="79" t="n">
        <f aca="false">N(H852)+IFERROR(IF(AND($A853&lt;&gt;"",$E853&lt;&gt;"",$A853&gt;=IF(Search!$E$4="",0,Search!$E$4),$A853&lt;=IF(Search!$E$5="",99999,Search!$E$5),OR(Search!$E$6="",ISNUMBER(SEARCH(Search!$E$6,$C853))),OR(Search!$E$7="All",Search!$E$7="",$D853=Search!$E$7),OR(Search!$E$8="",Search!$E$9="",AND($B853&lt;&gt;"",MOD($B853,1)&gt;=Search!$E$8,MOD($B853,1)&lt;=Search!$E$9))),1,0),0)</f>
        <v>0</v>
      </c>
      <c r="I853" s="79" t="n">
        <f aca="false">IF(H853&gt;N(H852),$E853,0)</f>
        <v>0</v>
      </c>
      <c r="J853" s="79" t="n">
        <f aca="false">IFERROR(IF(AND($A853&lt;&gt;"",$E853&lt;&gt;"",$A853&gt;=PeriodStart,$A853&lt;=PeriodEnd),$E853+ROW()/1000000,0),0)</f>
        <v>0</v>
      </c>
    </row>
    <row r="854" customFormat="false" ht="15" hidden="false" customHeight="false" outlineLevel="0" collapsed="false">
      <c r="A854" s="75"/>
      <c r="B854" s="76"/>
      <c r="C854" s="77"/>
      <c r="D854" s="77"/>
      <c r="E854" s="78"/>
      <c r="F854" s="77"/>
      <c r="G854" s="77"/>
      <c r="H854" s="79" t="n">
        <f aca="false">N(H853)+IFERROR(IF(AND($A854&lt;&gt;"",$E854&lt;&gt;"",$A854&gt;=IF(Search!$E$4="",0,Search!$E$4),$A854&lt;=IF(Search!$E$5="",99999,Search!$E$5),OR(Search!$E$6="",ISNUMBER(SEARCH(Search!$E$6,$C854))),OR(Search!$E$7="All",Search!$E$7="",$D854=Search!$E$7),OR(Search!$E$8="",Search!$E$9="",AND($B854&lt;&gt;"",MOD($B854,1)&gt;=Search!$E$8,MOD($B854,1)&lt;=Search!$E$9))),1,0),0)</f>
        <v>0</v>
      </c>
      <c r="I854" s="79" t="n">
        <f aca="false">IF(H854&gt;N(H853),$E854,0)</f>
        <v>0</v>
      </c>
      <c r="J854" s="79" t="n">
        <f aca="false">IFERROR(IF(AND($A854&lt;&gt;"",$E854&lt;&gt;"",$A854&gt;=PeriodStart,$A854&lt;=PeriodEnd),$E854+ROW()/1000000,0),0)</f>
        <v>0</v>
      </c>
    </row>
    <row r="855" customFormat="false" ht="15" hidden="false" customHeight="false" outlineLevel="0" collapsed="false">
      <c r="A855" s="75"/>
      <c r="B855" s="76"/>
      <c r="C855" s="77"/>
      <c r="D855" s="77"/>
      <c r="E855" s="78"/>
      <c r="F855" s="77"/>
      <c r="G855" s="77"/>
      <c r="H855" s="79" t="n">
        <f aca="false">N(H854)+IFERROR(IF(AND($A855&lt;&gt;"",$E855&lt;&gt;"",$A855&gt;=IF(Search!$E$4="",0,Search!$E$4),$A855&lt;=IF(Search!$E$5="",99999,Search!$E$5),OR(Search!$E$6="",ISNUMBER(SEARCH(Search!$E$6,$C855))),OR(Search!$E$7="All",Search!$E$7="",$D855=Search!$E$7),OR(Search!$E$8="",Search!$E$9="",AND($B855&lt;&gt;"",MOD($B855,1)&gt;=Search!$E$8,MOD($B855,1)&lt;=Search!$E$9))),1,0),0)</f>
        <v>0</v>
      </c>
      <c r="I855" s="79" t="n">
        <f aca="false">IF(H855&gt;N(H854),$E855,0)</f>
        <v>0</v>
      </c>
      <c r="J855" s="79" t="n">
        <f aca="false">IFERROR(IF(AND($A855&lt;&gt;"",$E855&lt;&gt;"",$A855&gt;=PeriodStart,$A855&lt;=PeriodEnd),$E855+ROW()/1000000,0),0)</f>
        <v>0</v>
      </c>
    </row>
    <row r="856" customFormat="false" ht="15" hidden="false" customHeight="false" outlineLevel="0" collapsed="false">
      <c r="A856" s="75"/>
      <c r="B856" s="76"/>
      <c r="C856" s="77"/>
      <c r="D856" s="77"/>
      <c r="E856" s="78"/>
      <c r="F856" s="77"/>
      <c r="G856" s="77"/>
      <c r="H856" s="79" t="n">
        <f aca="false">N(H855)+IFERROR(IF(AND($A856&lt;&gt;"",$E856&lt;&gt;"",$A856&gt;=IF(Search!$E$4="",0,Search!$E$4),$A856&lt;=IF(Search!$E$5="",99999,Search!$E$5),OR(Search!$E$6="",ISNUMBER(SEARCH(Search!$E$6,$C856))),OR(Search!$E$7="All",Search!$E$7="",$D856=Search!$E$7),OR(Search!$E$8="",Search!$E$9="",AND($B856&lt;&gt;"",MOD($B856,1)&gt;=Search!$E$8,MOD($B856,1)&lt;=Search!$E$9))),1,0),0)</f>
        <v>0</v>
      </c>
      <c r="I856" s="79" t="n">
        <f aca="false">IF(H856&gt;N(H855),$E856,0)</f>
        <v>0</v>
      </c>
      <c r="J856" s="79" t="n">
        <f aca="false">IFERROR(IF(AND($A856&lt;&gt;"",$E856&lt;&gt;"",$A856&gt;=PeriodStart,$A856&lt;=PeriodEnd),$E856+ROW()/1000000,0),0)</f>
        <v>0</v>
      </c>
    </row>
    <row r="857" customFormat="false" ht="15" hidden="false" customHeight="false" outlineLevel="0" collapsed="false">
      <c r="A857" s="75"/>
      <c r="B857" s="76"/>
      <c r="C857" s="77"/>
      <c r="D857" s="77"/>
      <c r="E857" s="78"/>
      <c r="F857" s="77"/>
      <c r="G857" s="77"/>
      <c r="H857" s="79" t="n">
        <f aca="false">N(H856)+IFERROR(IF(AND($A857&lt;&gt;"",$E857&lt;&gt;"",$A857&gt;=IF(Search!$E$4="",0,Search!$E$4),$A857&lt;=IF(Search!$E$5="",99999,Search!$E$5),OR(Search!$E$6="",ISNUMBER(SEARCH(Search!$E$6,$C857))),OR(Search!$E$7="All",Search!$E$7="",$D857=Search!$E$7),OR(Search!$E$8="",Search!$E$9="",AND($B857&lt;&gt;"",MOD($B857,1)&gt;=Search!$E$8,MOD($B857,1)&lt;=Search!$E$9))),1,0),0)</f>
        <v>0</v>
      </c>
      <c r="I857" s="79" t="n">
        <f aca="false">IF(H857&gt;N(H856),$E857,0)</f>
        <v>0</v>
      </c>
      <c r="J857" s="79" t="n">
        <f aca="false">IFERROR(IF(AND($A857&lt;&gt;"",$E857&lt;&gt;"",$A857&gt;=PeriodStart,$A857&lt;=PeriodEnd),$E857+ROW()/1000000,0),0)</f>
        <v>0</v>
      </c>
    </row>
    <row r="858" customFormat="false" ht="15" hidden="false" customHeight="false" outlineLevel="0" collapsed="false">
      <c r="A858" s="75"/>
      <c r="B858" s="76"/>
      <c r="C858" s="77"/>
      <c r="D858" s="77"/>
      <c r="E858" s="78"/>
      <c r="F858" s="77"/>
      <c r="G858" s="77"/>
      <c r="H858" s="79" t="n">
        <f aca="false">N(H857)+IFERROR(IF(AND($A858&lt;&gt;"",$E858&lt;&gt;"",$A858&gt;=IF(Search!$E$4="",0,Search!$E$4),$A858&lt;=IF(Search!$E$5="",99999,Search!$E$5),OR(Search!$E$6="",ISNUMBER(SEARCH(Search!$E$6,$C858))),OR(Search!$E$7="All",Search!$E$7="",$D858=Search!$E$7),OR(Search!$E$8="",Search!$E$9="",AND($B858&lt;&gt;"",MOD($B858,1)&gt;=Search!$E$8,MOD($B858,1)&lt;=Search!$E$9))),1,0),0)</f>
        <v>0</v>
      </c>
      <c r="I858" s="79" t="n">
        <f aca="false">IF(H858&gt;N(H857),$E858,0)</f>
        <v>0</v>
      </c>
      <c r="J858" s="79" t="n">
        <f aca="false">IFERROR(IF(AND($A858&lt;&gt;"",$E858&lt;&gt;"",$A858&gt;=PeriodStart,$A858&lt;=PeriodEnd),$E858+ROW()/1000000,0),0)</f>
        <v>0</v>
      </c>
    </row>
    <row r="859" customFormat="false" ht="15" hidden="false" customHeight="false" outlineLevel="0" collapsed="false">
      <c r="A859" s="75"/>
      <c r="B859" s="76"/>
      <c r="C859" s="77"/>
      <c r="D859" s="77"/>
      <c r="E859" s="78"/>
      <c r="F859" s="77"/>
      <c r="G859" s="77"/>
      <c r="H859" s="79" t="n">
        <f aca="false">N(H858)+IFERROR(IF(AND($A859&lt;&gt;"",$E859&lt;&gt;"",$A859&gt;=IF(Search!$E$4="",0,Search!$E$4),$A859&lt;=IF(Search!$E$5="",99999,Search!$E$5),OR(Search!$E$6="",ISNUMBER(SEARCH(Search!$E$6,$C859))),OR(Search!$E$7="All",Search!$E$7="",$D859=Search!$E$7),OR(Search!$E$8="",Search!$E$9="",AND($B859&lt;&gt;"",MOD($B859,1)&gt;=Search!$E$8,MOD($B859,1)&lt;=Search!$E$9))),1,0),0)</f>
        <v>0</v>
      </c>
      <c r="I859" s="79" t="n">
        <f aca="false">IF(H859&gt;N(H858),$E859,0)</f>
        <v>0</v>
      </c>
      <c r="J859" s="79" t="n">
        <f aca="false">IFERROR(IF(AND($A859&lt;&gt;"",$E859&lt;&gt;"",$A859&gt;=PeriodStart,$A859&lt;=PeriodEnd),$E859+ROW()/1000000,0),0)</f>
        <v>0</v>
      </c>
    </row>
    <row r="860" customFormat="false" ht="15" hidden="false" customHeight="false" outlineLevel="0" collapsed="false">
      <c r="A860" s="75"/>
      <c r="B860" s="76"/>
      <c r="C860" s="77"/>
      <c r="D860" s="77"/>
      <c r="E860" s="78"/>
      <c r="F860" s="77"/>
      <c r="G860" s="77"/>
      <c r="H860" s="79" t="n">
        <f aca="false">N(H859)+IFERROR(IF(AND($A860&lt;&gt;"",$E860&lt;&gt;"",$A860&gt;=IF(Search!$E$4="",0,Search!$E$4),$A860&lt;=IF(Search!$E$5="",99999,Search!$E$5),OR(Search!$E$6="",ISNUMBER(SEARCH(Search!$E$6,$C860))),OR(Search!$E$7="All",Search!$E$7="",$D860=Search!$E$7),OR(Search!$E$8="",Search!$E$9="",AND($B860&lt;&gt;"",MOD($B860,1)&gt;=Search!$E$8,MOD($B860,1)&lt;=Search!$E$9))),1,0),0)</f>
        <v>0</v>
      </c>
      <c r="I860" s="79" t="n">
        <f aca="false">IF(H860&gt;N(H859),$E860,0)</f>
        <v>0</v>
      </c>
      <c r="J860" s="79" t="n">
        <f aca="false">IFERROR(IF(AND($A860&lt;&gt;"",$E860&lt;&gt;"",$A860&gt;=PeriodStart,$A860&lt;=PeriodEnd),$E860+ROW()/1000000,0),0)</f>
        <v>0</v>
      </c>
    </row>
    <row r="861" customFormat="false" ht="15" hidden="false" customHeight="false" outlineLevel="0" collapsed="false">
      <c r="A861" s="75"/>
      <c r="B861" s="76"/>
      <c r="C861" s="77"/>
      <c r="D861" s="77"/>
      <c r="E861" s="78"/>
      <c r="F861" s="77"/>
      <c r="G861" s="77"/>
      <c r="H861" s="79" t="n">
        <f aca="false">N(H860)+IFERROR(IF(AND($A861&lt;&gt;"",$E861&lt;&gt;"",$A861&gt;=IF(Search!$E$4="",0,Search!$E$4),$A861&lt;=IF(Search!$E$5="",99999,Search!$E$5),OR(Search!$E$6="",ISNUMBER(SEARCH(Search!$E$6,$C861))),OR(Search!$E$7="All",Search!$E$7="",$D861=Search!$E$7),OR(Search!$E$8="",Search!$E$9="",AND($B861&lt;&gt;"",MOD($B861,1)&gt;=Search!$E$8,MOD($B861,1)&lt;=Search!$E$9))),1,0),0)</f>
        <v>0</v>
      </c>
      <c r="I861" s="79" t="n">
        <f aca="false">IF(H861&gt;N(H860),$E861,0)</f>
        <v>0</v>
      </c>
      <c r="J861" s="79" t="n">
        <f aca="false">IFERROR(IF(AND($A861&lt;&gt;"",$E861&lt;&gt;"",$A861&gt;=PeriodStart,$A861&lt;=PeriodEnd),$E861+ROW()/1000000,0),0)</f>
        <v>0</v>
      </c>
    </row>
    <row r="862" customFormat="false" ht="15" hidden="false" customHeight="false" outlineLevel="0" collapsed="false">
      <c r="A862" s="75"/>
      <c r="B862" s="76"/>
      <c r="C862" s="77"/>
      <c r="D862" s="77"/>
      <c r="E862" s="78"/>
      <c r="F862" s="77"/>
      <c r="G862" s="77"/>
      <c r="H862" s="79" t="n">
        <f aca="false">N(H861)+IFERROR(IF(AND($A862&lt;&gt;"",$E862&lt;&gt;"",$A862&gt;=IF(Search!$E$4="",0,Search!$E$4),$A862&lt;=IF(Search!$E$5="",99999,Search!$E$5),OR(Search!$E$6="",ISNUMBER(SEARCH(Search!$E$6,$C862))),OR(Search!$E$7="All",Search!$E$7="",$D862=Search!$E$7),OR(Search!$E$8="",Search!$E$9="",AND($B862&lt;&gt;"",MOD($B862,1)&gt;=Search!$E$8,MOD($B862,1)&lt;=Search!$E$9))),1,0),0)</f>
        <v>0</v>
      </c>
      <c r="I862" s="79" t="n">
        <f aca="false">IF(H862&gt;N(H861),$E862,0)</f>
        <v>0</v>
      </c>
      <c r="J862" s="79" t="n">
        <f aca="false">IFERROR(IF(AND($A862&lt;&gt;"",$E862&lt;&gt;"",$A862&gt;=PeriodStart,$A862&lt;=PeriodEnd),$E862+ROW()/1000000,0),0)</f>
        <v>0</v>
      </c>
    </row>
    <row r="863" customFormat="false" ht="15" hidden="false" customHeight="false" outlineLevel="0" collapsed="false">
      <c r="A863" s="75"/>
      <c r="B863" s="76"/>
      <c r="C863" s="77"/>
      <c r="D863" s="77"/>
      <c r="E863" s="78"/>
      <c r="F863" s="77"/>
      <c r="G863" s="77"/>
      <c r="H863" s="79" t="n">
        <f aca="false">N(H862)+IFERROR(IF(AND($A863&lt;&gt;"",$E863&lt;&gt;"",$A863&gt;=IF(Search!$E$4="",0,Search!$E$4),$A863&lt;=IF(Search!$E$5="",99999,Search!$E$5),OR(Search!$E$6="",ISNUMBER(SEARCH(Search!$E$6,$C863))),OR(Search!$E$7="All",Search!$E$7="",$D863=Search!$E$7),OR(Search!$E$8="",Search!$E$9="",AND($B863&lt;&gt;"",MOD($B863,1)&gt;=Search!$E$8,MOD($B863,1)&lt;=Search!$E$9))),1,0),0)</f>
        <v>0</v>
      </c>
      <c r="I863" s="79" t="n">
        <f aca="false">IF(H863&gt;N(H862),$E863,0)</f>
        <v>0</v>
      </c>
      <c r="J863" s="79" t="n">
        <f aca="false">IFERROR(IF(AND($A863&lt;&gt;"",$E863&lt;&gt;"",$A863&gt;=PeriodStart,$A863&lt;=PeriodEnd),$E863+ROW()/1000000,0),0)</f>
        <v>0</v>
      </c>
    </row>
    <row r="864" customFormat="false" ht="15" hidden="false" customHeight="false" outlineLevel="0" collapsed="false">
      <c r="A864" s="75"/>
      <c r="B864" s="76"/>
      <c r="C864" s="77"/>
      <c r="D864" s="77"/>
      <c r="E864" s="78"/>
      <c r="F864" s="77"/>
      <c r="G864" s="77"/>
      <c r="H864" s="79" t="n">
        <f aca="false">N(H863)+IFERROR(IF(AND($A864&lt;&gt;"",$E864&lt;&gt;"",$A864&gt;=IF(Search!$E$4="",0,Search!$E$4),$A864&lt;=IF(Search!$E$5="",99999,Search!$E$5),OR(Search!$E$6="",ISNUMBER(SEARCH(Search!$E$6,$C864))),OR(Search!$E$7="All",Search!$E$7="",$D864=Search!$E$7),OR(Search!$E$8="",Search!$E$9="",AND($B864&lt;&gt;"",MOD($B864,1)&gt;=Search!$E$8,MOD($B864,1)&lt;=Search!$E$9))),1,0),0)</f>
        <v>0</v>
      </c>
      <c r="I864" s="79" t="n">
        <f aca="false">IF(H864&gt;N(H863),$E864,0)</f>
        <v>0</v>
      </c>
      <c r="J864" s="79" t="n">
        <f aca="false">IFERROR(IF(AND($A864&lt;&gt;"",$E864&lt;&gt;"",$A864&gt;=PeriodStart,$A864&lt;=PeriodEnd),$E864+ROW()/1000000,0),0)</f>
        <v>0</v>
      </c>
    </row>
    <row r="865" customFormat="false" ht="15" hidden="false" customHeight="false" outlineLevel="0" collapsed="false">
      <c r="A865" s="75"/>
      <c r="B865" s="76"/>
      <c r="C865" s="77"/>
      <c r="D865" s="77"/>
      <c r="E865" s="78"/>
      <c r="F865" s="77"/>
      <c r="G865" s="77"/>
      <c r="H865" s="79" t="n">
        <f aca="false">N(H864)+IFERROR(IF(AND($A865&lt;&gt;"",$E865&lt;&gt;"",$A865&gt;=IF(Search!$E$4="",0,Search!$E$4),$A865&lt;=IF(Search!$E$5="",99999,Search!$E$5),OR(Search!$E$6="",ISNUMBER(SEARCH(Search!$E$6,$C865))),OR(Search!$E$7="All",Search!$E$7="",$D865=Search!$E$7),OR(Search!$E$8="",Search!$E$9="",AND($B865&lt;&gt;"",MOD($B865,1)&gt;=Search!$E$8,MOD($B865,1)&lt;=Search!$E$9))),1,0),0)</f>
        <v>0</v>
      </c>
      <c r="I865" s="79" t="n">
        <f aca="false">IF(H865&gt;N(H864),$E865,0)</f>
        <v>0</v>
      </c>
      <c r="J865" s="79" t="n">
        <f aca="false">IFERROR(IF(AND($A865&lt;&gt;"",$E865&lt;&gt;"",$A865&gt;=PeriodStart,$A865&lt;=PeriodEnd),$E865+ROW()/1000000,0),0)</f>
        <v>0</v>
      </c>
    </row>
    <row r="866" customFormat="false" ht="15" hidden="false" customHeight="false" outlineLevel="0" collapsed="false">
      <c r="A866" s="75"/>
      <c r="B866" s="76"/>
      <c r="C866" s="77"/>
      <c r="D866" s="77"/>
      <c r="E866" s="78"/>
      <c r="F866" s="77"/>
      <c r="G866" s="77"/>
      <c r="H866" s="79" t="n">
        <f aca="false">N(H865)+IFERROR(IF(AND($A866&lt;&gt;"",$E866&lt;&gt;"",$A866&gt;=IF(Search!$E$4="",0,Search!$E$4),$A866&lt;=IF(Search!$E$5="",99999,Search!$E$5),OR(Search!$E$6="",ISNUMBER(SEARCH(Search!$E$6,$C866))),OR(Search!$E$7="All",Search!$E$7="",$D866=Search!$E$7),OR(Search!$E$8="",Search!$E$9="",AND($B866&lt;&gt;"",MOD($B866,1)&gt;=Search!$E$8,MOD($B866,1)&lt;=Search!$E$9))),1,0),0)</f>
        <v>0</v>
      </c>
      <c r="I866" s="79" t="n">
        <f aca="false">IF(H866&gt;N(H865),$E866,0)</f>
        <v>0</v>
      </c>
      <c r="J866" s="79" t="n">
        <f aca="false">IFERROR(IF(AND($A866&lt;&gt;"",$E866&lt;&gt;"",$A866&gt;=PeriodStart,$A866&lt;=PeriodEnd),$E866+ROW()/1000000,0),0)</f>
        <v>0</v>
      </c>
    </row>
    <row r="867" customFormat="false" ht="15" hidden="false" customHeight="false" outlineLevel="0" collapsed="false">
      <c r="A867" s="75"/>
      <c r="B867" s="76"/>
      <c r="C867" s="77"/>
      <c r="D867" s="77"/>
      <c r="E867" s="78"/>
      <c r="F867" s="77"/>
      <c r="G867" s="77"/>
      <c r="H867" s="79" t="n">
        <f aca="false">N(H866)+IFERROR(IF(AND($A867&lt;&gt;"",$E867&lt;&gt;"",$A867&gt;=IF(Search!$E$4="",0,Search!$E$4),$A867&lt;=IF(Search!$E$5="",99999,Search!$E$5),OR(Search!$E$6="",ISNUMBER(SEARCH(Search!$E$6,$C867))),OR(Search!$E$7="All",Search!$E$7="",$D867=Search!$E$7),OR(Search!$E$8="",Search!$E$9="",AND($B867&lt;&gt;"",MOD($B867,1)&gt;=Search!$E$8,MOD($B867,1)&lt;=Search!$E$9))),1,0),0)</f>
        <v>0</v>
      </c>
      <c r="I867" s="79" t="n">
        <f aca="false">IF(H867&gt;N(H866),$E867,0)</f>
        <v>0</v>
      </c>
      <c r="J867" s="79" t="n">
        <f aca="false">IFERROR(IF(AND($A867&lt;&gt;"",$E867&lt;&gt;"",$A867&gt;=PeriodStart,$A867&lt;=PeriodEnd),$E867+ROW()/1000000,0),0)</f>
        <v>0</v>
      </c>
    </row>
    <row r="868" customFormat="false" ht="15" hidden="false" customHeight="false" outlineLevel="0" collapsed="false">
      <c r="A868" s="75"/>
      <c r="B868" s="76"/>
      <c r="C868" s="77"/>
      <c r="D868" s="77"/>
      <c r="E868" s="78"/>
      <c r="F868" s="77"/>
      <c r="G868" s="77"/>
      <c r="H868" s="79" t="n">
        <f aca="false">N(H867)+IFERROR(IF(AND($A868&lt;&gt;"",$E868&lt;&gt;"",$A868&gt;=IF(Search!$E$4="",0,Search!$E$4),$A868&lt;=IF(Search!$E$5="",99999,Search!$E$5),OR(Search!$E$6="",ISNUMBER(SEARCH(Search!$E$6,$C868))),OR(Search!$E$7="All",Search!$E$7="",$D868=Search!$E$7),OR(Search!$E$8="",Search!$E$9="",AND($B868&lt;&gt;"",MOD($B868,1)&gt;=Search!$E$8,MOD($B868,1)&lt;=Search!$E$9))),1,0),0)</f>
        <v>0</v>
      </c>
      <c r="I868" s="79" t="n">
        <f aca="false">IF(H868&gt;N(H867),$E868,0)</f>
        <v>0</v>
      </c>
      <c r="J868" s="79" t="n">
        <f aca="false">IFERROR(IF(AND($A868&lt;&gt;"",$E868&lt;&gt;"",$A868&gt;=PeriodStart,$A868&lt;=PeriodEnd),$E868+ROW()/1000000,0),0)</f>
        <v>0</v>
      </c>
    </row>
    <row r="869" customFormat="false" ht="15" hidden="false" customHeight="false" outlineLevel="0" collapsed="false">
      <c r="A869" s="75"/>
      <c r="B869" s="76"/>
      <c r="C869" s="77"/>
      <c r="D869" s="77"/>
      <c r="E869" s="78"/>
      <c r="F869" s="77"/>
      <c r="G869" s="77"/>
      <c r="H869" s="79" t="n">
        <f aca="false">N(H868)+IFERROR(IF(AND($A869&lt;&gt;"",$E869&lt;&gt;"",$A869&gt;=IF(Search!$E$4="",0,Search!$E$4),$A869&lt;=IF(Search!$E$5="",99999,Search!$E$5),OR(Search!$E$6="",ISNUMBER(SEARCH(Search!$E$6,$C869))),OR(Search!$E$7="All",Search!$E$7="",$D869=Search!$E$7),OR(Search!$E$8="",Search!$E$9="",AND($B869&lt;&gt;"",MOD($B869,1)&gt;=Search!$E$8,MOD($B869,1)&lt;=Search!$E$9))),1,0),0)</f>
        <v>0</v>
      </c>
      <c r="I869" s="79" t="n">
        <f aca="false">IF(H869&gt;N(H868),$E869,0)</f>
        <v>0</v>
      </c>
      <c r="J869" s="79" t="n">
        <f aca="false">IFERROR(IF(AND($A869&lt;&gt;"",$E869&lt;&gt;"",$A869&gt;=PeriodStart,$A869&lt;=PeriodEnd),$E869+ROW()/1000000,0),0)</f>
        <v>0</v>
      </c>
    </row>
    <row r="870" customFormat="false" ht="15" hidden="false" customHeight="false" outlineLevel="0" collapsed="false">
      <c r="A870" s="75"/>
      <c r="B870" s="76"/>
      <c r="C870" s="77"/>
      <c r="D870" s="77"/>
      <c r="E870" s="78"/>
      <c r="F870" s="77"/>
      <c r="G870" s="77"/>
      <c r="H870" s="79" t="n">
        <f aca="false">N(H869)+IFERROR(IF(AND($A870&lt;&gt;"",$E870&lt;&gt;"",$A870&gt;=IF(Search!$E$4="",0,Search!$E$4),$A870&lt;=IF(Search!$E$5="",99999,Search!$E$5),OR(Search!$E$6="",ISNUMBER(SEARCH(Search!$E$6,$C870))),OR(Search!$E$7="All",Search!$E$7="",$D870=Search!$E$7),OR(Search!$E$8="",Search!$E$9="",AND($B870&lt;&gt;"",MOD($B870,1)&gt;=Search!$E$8,MOD($B870,1)&lt;=Search!$E$9))),1,0),0)</f>
        <v>0</v>
      </c>
      <c r="I870" s="79" t="n">
        <f aca="false">IF(H870&gt;N(H869),$E870,0)</f>
        <v>0</v>
      </c>
      <c r="J870" s="79" t="n">
        <f aca="false">IFERROR(IF(AND($A870&lt;&gt;"",$E870&lt;&gt;"",$A870&gt;=PeriodStart,$A870&lt;=PeriodEnd),$E870+ROW()/1000000,0),0)</f>
        <v>0</v>
      </c>
    </row>
    <row r="871" customFormat="false" ht="15" hidden="false" customHeight="false" outlineLevel="0" collapsed="false">
      <c r="A871" s="75"/>
      <c r="B871" s="76"/>
      <c r="C871" s="77"/>
      <c r="D871" s="77"/>
      <c r="E871" s="78"/>
      <c r="F871" s="77"/>
      <c r="G871" s="77"/>
      <c r="H871" s="79" t="n">
        <f aca="false">N(H870)+IFERROR(IF(AND($A871&lt;&gt;"",$E871&lt;&gt;"",$A871&gt;=IF(Search!$E$4="",0,Search!$E$4),$A871&lt;=IF(Search!$E$5="",99999,Search!$E$5),OR(Search!$E$6="",ISNUMBER(SEARCH(Search!$E$6,$C871))),OR(Search!$E$7="All",Search!$E$7="",$D871=Search!$E$7),OR(Search!$E$8="",Search!$E$9="",AND($B871&lt;&gt;"",MOD($B871,1)&gt;=Search!$E$8,MOD($B871,1)&lt;=Search!$E$9))),1,0),0)</f>
        <v>0</v>
      </c>
      <c r="I871" s="79" t="n">
        <f aca="false">IF(H871&gt;N(H870),$E871,0)</f>
        <v>0</v>
      </c>
      <c r="J871" s="79" t="n">
        <f aca="false">IFERROR(IF(AND($A871&lt;&gt;"",$E871&lt;&gt;"",$A871&gt;=PeriodStart,$A871&lt;=PeriodEnd),$E871+ROW()/1000000,0),0)</f>
        <v>0</v>
      </c>
    </row>
    <row r="872" customFormat="false" ht="15" hidden="false" customHeight="false" outlineLevel="0" collapsed="false">
      <c r="A872" s="75"/>
      <c r="B872" s="76"/>
      <c r="C872" s="77"/>
      <c r="D872" s="77"/>
      <c r="E872" s="78"/>
      <c r="F872" s="77"/>
      <c r="G872" s="77"/>
      <c r="H872" s="79" t="n">
        <f aca="false">N(H871)+IFERROR(IF(AND($A872&lt;&gt;"",$E872&lt;&gt;"",$A872&gt;=IF(Search!$E$4="",0,Search!$E$4),$A872&lt;=IF(Search!$E$5="",99999,Search!$E$5),OR(Search!$E$6="",ISNUMBER(SEARCH(Search!$E$6,$C872))),OR(Search!$E$7="All",Search!$E$7="",$D872=Search!$E$7),OR(Search!$E$8="",Search!$E$9="",AND($B872&lt;&gt;"",MOD($B872,1)&gt;=Search!$E$8,MOD($B872,1)&lt;=Search!$E$9))),1,0),0)</f>
        <v>0</v>
      </c>
      <c r="I872" s="79" t="n">
        <f aca="false">IF(H872&gt;N(H871),$E872,0)</f>
        <v>0</v>
      </c>
      <c r="J872" s="79" t="n">
        <f aca="false">IFERROR(IF(AND($A872&lt;&gt;"",$E872&lt;&gt;"",$A872&gt;=PeriodStart,$A872&lt;=PeriodEnd),$E872+ROW()/1000000,0),0)</f>
        <v>0</v>
      </c>
    </row>
    <row r="873" customFormat="false" ht="15" hidden="false" customHeight="false" outlineLevel="0" collapsed="false">
      <c r="A873" s="75"/>
      <c r="B873" s="76"/>
      <c r="C873" s="77"/>
      <c r="D873" s="77"/>
      <c r="E873" s="78"/>
      <c r="F873" s="77"/>
      <c r="G873" s="77"/>
      <c r="H873" s="79" t="n">
        <f aca="false">N(H872)+IFERROR(IF(AND($A873&lt;&gt;"",$E873&lt;&gt;"",$A873&gt;=IF(Search!$E$4="",0,Search!$E$4),$A873&lt;=IF(Search!$E$5="",99999,Search!$E$5),OR(Search!$E$6="",ISNUMBER(SEARCH(Search!$E$6,$C873))),OR(Search!$E$7="All",Search!$E$7="",$D873=Search!$E$7),OR(Search!$E$8="",Search!$E$9="",AND($B873&lt;&gt;"",MOD($B873,1)&gt;=Search!$E$8,MOD($B873,1)&lt;=Search!$E$9))),1,0),0)</f>
        <v>0</v>
      </c>
      <c r="I873" s="79" t="n">
        <f aca="false">IF(H873&gt;N(H872),$E873,0)</f>
        <v>0</v>
      </c>
      <c r="J873" s="79" t="n">
        <f aca="false">IFERROR(IF(AND($A873&lt;&gt;"",$E873&lt;&gt;"",$A873&gt;=PeriodStart,$A873&lt;=PeriodEnd),$E873+ROW()/1000000,0),0)</f>
        <v>0</v>
      </c>
    </row>
    <row r="874" customFormat="false" ht="15" hidden="false" customHeight="false" outlineLevel="0" collapsed="false">
      <c r="A874" s="75"/>
      <c r="B874" s="76"/>
      <c r="C874" s="77"/>
      <c r="D874" s="77"/>
      <c r="E874" s="78"/>
      <c r="F874" s="77"/>
      <c r="G874" s="77"/>
      <c r="H874" s="79" t="n">
        <f aca="false">N(H873)+IFERROR(IF(AND($A874&lt;&gt;"",$E874&lt;&gt;"",$A874&gt;=IF(Search!$E$4="",0,Search!$E$4),$A874&lt;=IF(Search!$E$5="",99999,Search!$E$5),OR(Search!$E$6="",ISNUMBER(SEARCH(Search!$E$6,$C874))),OR(Search!$E$7="All",Search!$E$7="",$D874=Search!$E$7),OR(Search!$E$8="",Search!$E$9="",AND($B874&lt;&gt;"",MOD($B874,1)&gt;=Search!$E$8,MOD($B874,1)&lt;=Search!$E$9))),1,0),0)</f>
        <v>0</v>
      </c>
      <c r="I874" s="79" t="n">
        <f aca="false">IF(H874&gt;N(H873),$E874,0)</f>
        <v>0</v>
      </c>
      <c r="J874" s="79" t="n">
        <f aca="false">IFERROR(IF(AND($A874&lt;&gt;"",$E874&lt;&gt;"",$A874&gt;=PeriodStart,$A874&lt;=PeriodEnd),$E874+ROW()/1000000,0),0)</f>
        <v>0</v>
      </c>
    </row>
    <row r="875" customFormat="false" ht="15" hidden="false" customHeight="false" outlineLevel="0" collapsed="false">
      <c r="A875" s="75"/>
      <c r="B875" s="76"/>
      <c r="C875" s="77"/>
      <c r="D875" s="77"/>
      <c r="E875" s="78"/>
      <c r="F875" s="77"/>
      <c r="G875" s="77"/>
      <c r="H875" s="79" t="n">
        <f aca="false">N(H874)+IFERROR(IF(AND($A875&lt;&gt;"",$E875&lt;&gt;"",$A875&gt;=IF(Search!$E$4="",0,Search!$E$4),$A875&lt;=IF(Search!$E$5="",99999,Search!$E$5),OR(Search!$E$6="",ISNUMBER(SEARCH(Search!$E$6,$C875))),OR(Search!$E$7="All",Search!$E$7="",$D875=Search!$E$7),OR(Search!$E$8="",Search!$E$9="",AND($B875&lt;&gt;"",MOD($B875,1)&gt;=Search!$E$8,MOD($B875,1)&lt;=Search!$E$9))),1,0),0)</f>
        <v>0</v>
      </c>
      <c r="I875" s="79" t="n">
        <f aca="false">IF(H875&gt;N(H874),$E875,0)</f>
        <v>0</v>
      </c>
      <c r="J875" s="79" t="n">
        <f aca="false">IFERROR(IF(AND($A875&lt;&gt;"",$E875&lt;&gt;"",$A875&gt;=PeriodStart,$A875&lt;=PeriodEnd),$E875+ROW()/1000000,0),0)</f>
        <v>0</v>
      </c>
    </row>
    <row r="876" customFormat="false" ht="15" hidden="false" customHeight="false" outlineLevel="0" collapsed="false">
      <c r="A876" s="75"/>
      <c r="B876" s="76"/>
      <c r="C876" s="77"/>
      <c r="D876" s="77"/>
      <c r="E876" s="78"/>
      <c r="F876" s="77"/>
      <c r="G876" s="77"/>
      <c r="H876" s="79" t="n">
        <f aca="false">N(H875)+IFERROR(IF(AND($A876&lt;&gt;"",$E876&lt;&gt;"",$A876&gt;=IF(Search!$E$4="",0,Search!$E$4),$A876&lt;=IF(Search!$E$5="",99999,Search!$E$5),OR(Search!$E$6="",ISNUMBER(SEARCH(Search!$E$6,$C876))),OR(Search!$E$7="All",Search!$E$7="",$D876=Search!$E$7),OR(Search!$E$8="",Search!$E$9="",AND($B876&lt;&gt;"",MOD($B876,1)&gt;=Search!$E$8,MOD($B876,1)&lt;=Search!$E$9))),1,0),0)</f>
        <v>0</v>
      </c>
      <c r="I876" s="79" t="n">
        <f aca="false">IF(H876&gt;N(H875),$E876,0)</f>
        <v>0</v>
      </c>
      <c r="J876" s="79" t="n">
        <f aca="false">IFERROR(IF(AND($A876&lt;&gt;"",$E876&lt;&gt;"",$A876&gt;=PeriodStart,$A876&lt;=PeriodEnd),$E876+ROW()/1000000,0),0)</f>
        <v>0</v>
      </c>
    </row>
    <row r="877" customFormat="false" ht="15" hidden="false" customHeight="false" outlineLevel="0" collapsed="false">
      <c r="A877" s="75"/>
      <c r="B877" s="76"/>
      <c r="C877" s="77"/>
      <c r="D877" s="77"/>
      <c r="E877" s="78"/>
      <c r="F877" s="77"/>
      <c r="G877" s="77"/>
      <c r="H877" s="79" t="n">
        <f aca="false">N(H876)+IFERROR(IF(AND($A877&lt;&gt;"",$E877&lt;&gt;"",$A877&gt;=IF(Search!$E$4="",0,Search!$E$4),$A877&lt;=IF(Search!$E$5="",99999,Search!$E$5),OR(Search!$E$6="",ISNUMBER(SEARCH(Search!$E$6,$C877))),OR(Search!$E$7="All",Search!$E$7="",$D877=Search!$E$7),OR(Search!$E$8="",Search!$E$9="",AND($B877&lt;&gt;"",MOD($B877,1)&gt;=Search!$E$8,MOD($B877,1)&lt;=Search!$E$9))),1,0),0)</f>
        <v>0</v>
      </c>
      <c r="I877" s="79" t="n">
        <f aca="false">IF(H877&gt;N(H876),$E877,0)</f>
        <v>0</v>
      </c>
      <c r="J877" s="79" t="n">
        <f aca="false">IFERROR(IF(AND($A877&lt;&gt;"",$E877&lt;&gt;"",$A877&gt;=PeriodStart,$A877&lt;=PeriodEnd),$E877+ROW()/1000000,0),0)</f>
        <v>0</v>
      </c>
    </row>
    <row r="878" customFormat="false" ht="15" hidden="false" customHeight="false" outlineLevel="0" collapsed="false">
      <c r="A878" s="75"/>
      <c r="B878" s="76"/>
      <c r="C878" s="77"/>
      <c r="D878" s="77"/>
      <c r="E878" s="78"/>
      <c r="F878" s="77"/>
      <c r="G878" s="77"/>
      <c r="H878" s="79" t="n">
        <f aca="false">N(H877)+IFERROR(IF(AND($A878&lt;&gt;"",$E878&lt;&gt;"",$A878&gt;=IF(Search!$E$4="",0,Search!$E$4),$A878&lt;=IF(Search!$E$5="",99999,Search!$E$5),OR(Search!$E$6="",ISNUMBER(SEARCH(Search!$E$6,$C878))),OR(Search!$E$7="All",Search!$E$7="",$D878=Search!$E$7),OR(Search!$E$8="",Search!$E$9="",AND($B878&lt;&gt;"",MOD($B878,1)&gt;=Search!$E$8,MOD($B878,1)&lt;=Search!$E$9))),1,0),0)</f>
        <v>0</v>
      </c>
      <c r="I878" s="79" t="n">
        <f aca="false">IF(H878&gt;N(H877),$E878,0)</f>
        <v>0</v>
      </c>
      <c r="J878" s="79" t="n">
        <f aca="false">IFERROR(IF(AND($A878&lt;&gt;"",$E878&lt;&gt;"",$A878&gt;=PeriodStart,$A878&lt;=PeriodEnd),$E878+ROW()/1000000,0),0)</f>
        <v>0</v>
      </c>
    </row>
    <row r="879" customFormat="false" ht="15" hidden="false" customHeight="false" outlineLevel="0" collapsed="false">
      <c r="A879" s="75"/>
      <c r="B879" s="76"/>
      <c r="C879" s="77"/>
      <c r="D879" s="77"/>
      <c r="E879" s="78"/>
      <c r="F879" s="77"/>
      <c r="G879" s="77"/>
      <c r="H879" s="79" t="n">
        <f aca="false">N(H878)+IFERROR(IF(AND($A879&lt;&gt;"",$E879&lt;&gt;"",$A879&gt;=IF(Search!$E$4="",0,Search!$E$4),$A879&lt;=IF(Search!$E$5="",99999,Search!$E$5),OR(Search!$E$6="",ISNUMBER(SEARCH(Search!$E$6,$C879))),OR(Search!$E$7="All",Search!$E$7="",$D879=Search!$E$7),OR(Search!$E$8="",Search!$E$9="",AND($B879&lt;&gt;"",MOD($B879,1)&gt;=Search!$E$8,MOD($B879,1)&lt;=Search!$E$9))),1,0),0)</f>
        <v>0</v>
      </c>
      <c r="I879" s="79" t="n">
        <f aca="false">IF(H879&gt;N(H878),$E879,0)</f>
        <v>0</v>
      </c>
      <c r="J879" s="79" t="n">
        <f aca="false">IFERROR(IF(AND($A879&lt;&gt;"",$E879&lt;&gt;"",$A879&gt;=PeriodStart,$A879&lt;=PeriodEnd),$E879+ROW()/1000000,0),0)</f>
        <v>0</v>
      </c>
    </row>
    <row r="880" customFormat="false" ht="15" hidden="false" customHeight="false" outlineLevel="0" collapsed="false">
      <c r="A880" s="75"/>
      <c r="B880" s="76"/>
      <c r="C880" s="77"/>
      <c r="D880" s="77"/>
      <c r="E880" s="78"/>
      <c r="F880" s="77"/>
      <c r="G880" s="77"/>
      <c r="H880" s="79" t="n">
        <f aca="false">N(H879)+IFERROR(IF(AND($A880&lt;&gt;"",$E880&lt;&gt;"",$A880&gt;=IF(Search!$E$4="",0,Search!$E$4),$A880&lt;=IF(Search!$E$5="",99999,Search!$E$5),OR(Search!$E$6="",ISNUMBER(SEARCH(Search!$E$6,$C880))),OR(Search!$E$7="All",Search!$E$7="",$D880=Search!$E$7),OR(Search!$E$8="",Search!$E$9="",AND($B880&lt;&gt;"",MOD($B880,1)&gt;=Search!$E$8,MOD($B880,1)&lt;=Search!$E$9))),1,0),0)</f>
        <v>0</v>
      </c>
      <c r="I880" s="79" t="n">
        <f aca="false">IF(H880&gt;N(H879),$E880,0)</f>
        <v>0</v>
      </c>
      <c r="J880" s="79" t="n">
        <f aca="false">IFERROR(IF(AND($A880&lt;&gt;"",$E880&lt;&gt;"",$A880&gt;=PeriodStart,$A880&lt;=PeriodEnd),$E880+ROW()/1000000,0),0)</f>
        <v>0</v>
      </c>
    </row>
    <row r="881" customFormat="false" ht="15" hidden="false" customHeight="false" outlineLevel="0" collapsed="false">
      <c r="A881" s="75"/>
      <c r="B881" s="76"/>
      <c r="C881" s="77"/>
      <c r="D881" s="77"/>
      <c r="E881" s="78"/>
      <c r="F881" s="77"/>
      <c r="G881" s="77"/>
      <c r="H881" s="79" t="n">
        <f aca="false">N(H880)+IFERROR(IF(AND($A881&lt;&gt;"",$E881&lt;&gt;"",$A881&gt;=IF(Search!$E$4="",0,Search!$E$4),$A881&lt;=IF(Search!$E$5="",99999,Search!$E$5),OR(Search!$E$6="",ISNUMBER(SEARCH(Search!$E$6,$C881))),OR(Search!$E$7="All",Search!$E$7="",$D881=Search!$E$7),OR(Search!$E$8="",Search!$E$9="",AND($B881&lt;&gt;"",MOD($B881,1)&gt;=Search!$E$8,MOD($B881,1)&lt;=Search!$E$9))),1,0),0)</f>
        <v>0</v>
      </c>
      <c r="I881" s="79" t="n">
        <f aca="false">IF(H881&gt;N(H880),$E881,0)</f>
        <v>0</v>
      </c>
      <c r="J881" s="79" t="n">
        <f aca="false">IFERROR(IF(AND($A881&lt;&gt;"",$E881&lt;&gt;"",$A881&gt;=PeriodStart,$A881&lt;=PeriodEnd),$E881+ROW()/1000000,0),0)</f>
        <v>0</v>
      </c>
    </row>
    <row r="882" customFormat="false" ht="15" hidden="false" customHeight="false" outlineLevel="0" collapsed="false">
      <c r="A882" s="75"/>
      <c r="B882" s="76"/>
      <c r="C882" s="77"/>
      <c r="D882" s="77"/>
      <c r="E882" s="78"/>
      <c r="F882" s="77"/>
      <c r="G882" s="77"/>
      <c r="H882" s="79" t="n">
        <f aca="false">N(H881)+IFERROR(IF(AND($A882&lt;&gt;"",$E882&lt;&gt;"",$A882&gt;=IF(Search!$E$4="",0,Search!$E$4),$A882&lt;=IF(Search!$E$5="",99999,Search!$E$5),OR(Search!$E$6="",ISNUMBER(SEARCH(Search!$E$6,$C882))),OR(Search!$E$7="All",Search!$E$7="",$D882=Search!$E$7),OR(Search!$E$8="",Search!$E$9="",AND($B882&lt;&gt;"",MOD($B882,1)&gt;=Search!$E$8,MOD($B882,1)&lt;=Search!$E$9))),1,0),0)</f>
        <v>0</v>
      </c>
      <c r="I882" s="79" t="n">
        <f aca="false">IF(H882&gt;N(H881),$E882,0)</f>
        <v>0</v>
      </c>
      <c r="J882" s="79" t="n">
        <f aca="false">IFERROR(IF(AND($A882&lt;&gt;"",$E882&lt;&gt;"",$A882&gt;=PeriodStart,$A882&lt;=PeriodEnd),$E882+ROW()/1000000,0),0)</f>
        <v>0</v>
      </c>
    </row>
    <row r="883" customFormat="false" ht="15" hidden="false" customHeight="false" outlineLevel="0" collapsed="false">
      <c r="A883" s="75"/>
      <c r="B883" s="76"/>
      <c r="C883" s="77"/>
      <c r="D883" s="77"/>
      <c r="E883" s="78"/>
      <c r="F883" s="77"/>
      <c r="G883" s="77"/>
      <c r="H883" s="79" t="n">
        <f aca="false">N(H882)+IFERROR(IF(AND($A883&lt;&gt;"",$E883&lt;&gt;"",$A883&gt;=IF(Search!$E$4="",0,Search!$E$4),$A883&lt;=IF(Search!$E$5="",99999,Search!$E$5),OR(Search!$E$6="",ISNUMBER(SEARCH(Search!$E$6,$C883))),OR(Search!$E$7="All",Search!$E$7="",$D883=Search!$E$7),OR(Search!$E$8="",Search!$E$9="",AND($B883&lt;&gt;"",MOD($B883,1)&gt;=Search!$E$8,MOD($B883,1)&lt;=Search!$E$9))),1,0),0)</f>
        <v>0</v>
      </c>
      <c r="I883" s="79" t="n">
        <f aca="false">IF(H883&gt;N(H882),$E883,0)</f>
        <v>0</v>
      </c>
      <c r="J883" s="79" t="n">
        <f aca="false">IFERROR(IF(AND($A883&lt;&gt;"",$E883&lt;&gt;"",$A883&gt;=PeriodStart,$A883&lt;=PeriodEnd),$E883+ROW()/1000000,0),0)</f>
        <v>0</v>
      </c>
    </row>
    <row r="884" customFormat="false" ht="15" hidden="false" customHeight="false" outlineLevel="0" collapsed="false">
      <c r="A884" s="75"/>
      <c r="B884" s="76"/>
      <c r="C884" s="77"/>
      <c r="D884" s="77"/>
      <c r="E884" s="78"/>
      <c r="F884" s="77"/>
      <c r="G884" s="77"/>
      <c r="H884" s="79" t="n">
        <f aca="false">N(H883)+IFERROR(IF(AND($A884&lt;&gt;"",$E884&lt;&gt;"",$A884&gt;=IF(Search!$E$4="",0,Search!$E$4),$A884&lt;=IF(Search!$E$5="",99999,Search!$E$5),OR(Search!$E$6="",ISNUMBER(SEARCH(Search!$E$6,$C884))),OR(Search!$E$7="All",Search!$E$7="",$D884=Search!$E$7),OR(Search!$E$8="",Search!$E$9="",AND($B884&lt;&gt;"",MOD($B884,1)&gt;=Search!$E$8,MOD($B884,1)&lt;=Search!$E$9))),1,0),0)</f>
        <v>0</v>
      </c>
      <c r="I884" s="79" t="n">
        <f aca="false">IF(H884&gt;N(H883),$E884,0)</f>
        <v>0</v>
      </c>
      <c r="J884" s="79" t="n">
        <f aca="false">IFERROR(IF(AND($A884&lt;&gt;"",$E884&lt;&gt;"",$A884&gt;=PeriodStart,$A884&lt;=PeriodEnd),$E884+ROW()/1000000,0),0)</f>
        <v>0</v>
      </c>
    </row>
    <row r="885" customFormat="false" ht="15" hidden="false" customHeight="false" outlineLevel="0" collapsed="false">
      <c r="A885" s="75"/>
      <c r="B885" s="76"/>
      <c r="C885" s="77"/>
      <c r="D885" s="77"/>
      <c r="E885" s="78"/>
      <c r="F885" s="77"/>
      <c r="G885" s="77"/>
      <c r="H885" s="79" t="n">
        <f aca="false">N(H884)+IFERROR(IF(AND($A885&lt;&gt;"",$E885&lt;&gt;"",$A885&gt;=IF(Search!$E$4="",0,Search!$E$4),$A885&lt;=IF(Search!$E$5="",99999,Search!$E$5),OR(Search!$E$6="",ISNUMBER(SEARCH(Search!$E$6,$C885))),OR(Search!$E$7="All",Search!$E$7="",$D885=Search!$E$7),OR(Search!$E$8="",Search!$E$9="",AND($B885&lt;&gt;"",MOD($B885,1)&gt;=Search!$E$8,MOD($B885,1)&lt;=Search!$E$9))),1,0),0)</f>
        <v>0</v>
      </c>
      <c r="I885" s="79" t="n">
        <f aca="false">IF(H885&gt;N(H884),$E885,0)</f>
        <v>0</v>
      </c>
      <c r="J885" s="79" t="n">
        <f aca="false">IFERROR(IF(AND($A885&lt;&gt;"",$E885&lt;&gt;"",$A885&gt;=PeriodStart,$A885&lt;=PeriodEnd),$E885+ROW()/1000000,0),0)</f>
        <v>0</v>
      </c>
    </row>
    <row r="886" customFormat="false" ht="15" hidden="false" customHeight="false" outlineLevel="0" collapsed="false">
      <c r="A886" s="75"/>
      <c r="B886" s="76"/>
      <c r="C886" s="77"/>
      <c r="D886" s="77"/>
      <c r="E886" s="78"/>
      <c r="F886" s="77"/>
      <c r="G886" s="77"/>
      <c r="H886" s="79" t="n">
        <f aca="false">N(H885)+IFERROR(IF(AND($A886&lt;&gt;"",$E886&lt;&gt;"",$A886&gt;=IF(Search!$E$4="",0,Search!$E$4),$A886&lt;=IF(Search!$E$5="",99999,Search!$E$5),OR(Search!$E$6="",ISNUMBER(SEARCH(Search!$E$6,$C886))),OR(Search!$E$7="All",Search!$E$7="",$D886=Search!$E$7),OR(Search!$E$8="",Search!$E$9="",AND($B886&lt;&gt;"",MOD($B886,1)&gt;=Search!$E$8,MOD($B886,1)&lt;=Search!$E$9))),1,0),0)</f>
        <v>0</v>
      </c>
      <c r="I886" s="79" t="n">
        <f aca="false">IF(H886&gt;N(H885),$E886,0)</f>
        <v>0</v>
      </c>
      <c r="J886" s="79" t="n">
        <f aca="false">IFERROR(IF(AND($A886&lt;&gt;"",$E886&lt;&gt;"",$A886&gt;=PeriodStart,$A886&lt;=PeriodEnd),$E886+ROW()/1000000,0),0)</f>
        <v>0</v>
      </c>
    </row>
    <row r="887" customFormat="false" ht="15" hidden="false" customHeight="false" outlineLevel="0" collapsed="false">
      <c r="A887" s="75"/>
      <c r="B887" s="76"/>
      <c r="C887" s="77"/>
      <c r="D887" s="77"/>
      <c r="E887" s="78"/>
      <c r="F887" s="77"/>
      <c r="G887" s="77"/>
      <c r="H887" s="79" t="n">
        <f aca="false">N(H886)+IFERROR(IF(AND($A887&lt;&gt;"",$E887&lt;&gt;"",$A887&gt;=IF(Search!$E$4="",0,Search!$E$4),$A887&lt;=IF(Search!$E$5="",99999,Search!$E$5),OR(Search!$E$6="",ISNUMBER(SEARCH(Search!$E$6,$C887))),OR(Search!$E$7="All",Search!$E$7="",$D887=Search!$E$7),OR(Search!$E$8="",Search!$E$9="",AND($B887&lt;&gt;"",MOD($B887,1)&gt;=Search!$E$8,MOD($B887,1)&lt;=Search!$E$9))),1,0),0)</f>
        <v>0</v>
      </c>
      <c r="I887" s="79" t="n">
        <f aca="false">IF(H887&gt;N(H886),$E887,0)</f>
        <v>0</v>
      </c>
      <c r="J887" s="79" t="n">
        <f aca="false">IFERROR(IF(AND($A887&lt;&gt;"",$E887&lt;&gt;"",$A887&gt;=PeriodStart,$A887&lt;=PeriodEnd),$E887+ROW()/1000000,0),0)</f>
        <v>0</v>
      </c>
    </row>
    <row r="888" customFormat="false" ht="15" hidden="false" customHeight="false" outlineLevel="0" collapsed="false">
      <c r="A888" s="75"/>
      <c r="B888" s="76"/>
      <c r="C888" s="77"/>
      <c r="D888" s="77"/>
      <c r="E888" s="78"/>
      <c r="F888" s="77"/>
      <c r="G888" s="77"/>
      <c r="H888" s="79" t="n">
        <f aca="false">N(H887)+IFERROR(IF(AND($A888&lt;&gt;"",$E888&lt;&gt;"",$A888&gt;=IF(Search!$E$4="",0,Search!$E$4),$A888&lt;=IF(Search!$E$5="",99999,Search!$E$5),OR(Search!$E$6="",ISNUMBER(SEARCH(Search!$E$6,$C888))),OR(Search!$E$7="All",Search!$E$7="",$D888=Search!$E$7),OR(Search!$E$8="",Search!$E$9="",AND($B888&lt;&gt;"",MOD($B888,1)&gt;=Search!$E$8,MOD($B888,1)&lt;=Search!$E$9))),1,0),0)</f>
        <v>0</v>
      </c>
      <c r="I888" s="79" t="n">
        <f aca="false">IF(H888&gt;N(H887),$E888,0)</f>
        <v>0</v>
      </c>
      <c r="J888" s="79" t="n">
        <f aca="false">IFERROR(IF(AND($A888&lt;&gt;"",$E888&lt;&gt;"",$A888&gt;=PeriodStart,$A888&lt;=PeriodEnd),$E888+ROW()/1000000,0),0)</f>
        <v>0</v>
      </c>
    </row>
    <row r="889" customFormat="false" ht="15" hidden="false" customHeight="false" outlineLevel="0" collapsed="false">
      <c r="A889" s="75"/>
      <c r="B889" s="76"/>
      <c r="C889" s="77"/>
      <c r="D889" s="77"/>
      <c r="E889" s="78"/>
      <c r="F889" s="77"/>
      <c r="G889" s="77"/>
      <c r="H889" s="79" t="n">
        <f aca="false">N(H888)+IFERROR(IF(AND($A889&lt;&gt;"",$E889&lt;&gt;"",$A889&gt;=IF(Search!$E$4="",0,Search!$E$4),$A889&lt;=IF(Search!$E$5="",99999,Search!$E$5),OR(Search!$E$6="",ISNUMBER(SEARCH(Search!$E$6,$C889))),OR(Search!$E$7="All",Search!$E$7="",$D889=Search!$E$7),OR(Search!$E$8="",Search!$E$9="",AND($B889&lt;&gt;"",MOD($B889,1)&gt;=Search!$E$8,MOD($B889,1)&lt;=Search!$E$9))),1,0),0)</f>
        <v>0</v>
      </c>
      <c r="I889" s="79" t="n">
        <f aca="false">IF(H889&gt;N(H888),$E889,0)</f>
        <v>0</v>
      </c>
      <c r="J889" s="79" t="n">
        <f aca="false">IFERROR(IF(AND($A889&lt;&gt;"",$E889&lt;&gt;"",$A889&gt;=PeriodStart,$A889&lt;=PeriodEnd),$E889+ROW()/1000000,0),0)</f>
        <v>0</v>
      </c>
    </row>
    <row r="890" customFormat="false" ht="15" hidden="false" customHeight="false" outlineLevel="0" collapsed="false">
      <c r="A890" s="75"/>
      <c r="B890" s="76"/>
      <c r="C890" s="77"/>
      <c r="D890" s="77"/>
      <c r="E890" s="78"/>
      <c r="F890" s="77"/>
      <c r="G890" s="77"/>
      <c r="H890" s="79" t="n">
        <f aca="false">N(H889)+IFERROR(IF(AND($A890&lt;&gt;"",$E890&lt;&gt;"",$A890&gt;=IF(Search!$E$4="",0,Search!$E$4),$A890&lt;=IF(Search!$E$5="",99999,Search!$E$5),OR(Search!$E$6="",ISNUMBER(SEARCH(Search!$E$6,$C890))),OR(Search!$E$7="All",Search!$E$7="",$D890=Search!$E$7),OR(Search!$E$8="",Search!$E$9="",AND($B890&lt;&gt;"",MOD($B890,1)&gt;=Search!$E$8,MOD($B890,1)&lt;=Search!$E$9))),1,0),0)</f>
        <v>0</v>
      </c>
      <c r="I890" s="79" t="n">
        <f aca="false">IF(H890&gt;N(H889),$E890,0)</f>
        <v>0</v>
      </c>
      <c r="J890" s="79" t="n">
        <f aca="false">IFERROR(IF(AND($A890&lt;&gt;"",$E890&lt;&gt;"",$A890&gt;=PeriodStart,$A890&lt;=PeriodEnd),$E890+ROW()/1000000,0),0)</f>
        <v>0</v>
      </c>
    </row>
    <row r="891" customFormat="false" ht="15" hidden="false" customHeight="false" outlineLevel="0" collapsed="false">
      <c r="A891" s="75"/>
      <c r="B891" s="76"/>
      <c r="C891" s="77"/>
      <c r="D891" s="77"/>
      <c r="E891" s="78"/>
      <c r="F891" s="77"/>
      <c r="G891" s="77"/>
      <c r="H891" s="79" t="n">
        <f aca="false">N(H890)+IFERROR(IF(AND($A891&lt;&gt;"",$E891&lt;&gt;"",$A891&gt;=IF(Search!$E$4="",0,Search!$E$4),$A891&lt;=IF(Search!$E$5="",99999,Search!$E$5),OR(Search!$E$6="",ISNUMBER(SEARCH(Search!$E$6,$C891))),OR(Search!$E$7="All",Search!$E$7="",$D891=Search!$E$7),OR(Search!$E$8="",Search!$E$9="",AND($B891&lt;&gt;"",MOD($B891,1)&gt;=Search!$E$8,MOD($B891,1)&lt;=Search!$E$9))),1,0),0)</f>
        <v>0</v>
      </c>
      <c r="I891" s="79" t="n">
        <f aca="false">IF(H891&gt;N(H890),$E891,0)</f>
        <v>0</v>
      </c>
      <c r="J891" s="79" t="n">
        <f aca="false">IFERROR(IF(AND($A891&lt;&gt;"",$E891&lt;&gt;"",$A891&gt;=PeriodStart,$A891&lt;=PeriodEnd),$E891+ROW()/1000000,0),0)</f>
        <v>0</v>
      </c>
    </row>
    <row r="892" customFormat="false" ht="15" hidden="false" customHeight="false" outlineLevel="0" collapsed="false">
      <c r="A892" s="75"/>
      <c r="B892" s="76"/>
      <c r="C892" s="77"/>
      <c r="D892" s="77"/>
      <c r="E892" s="78"/>
      <c r="F892" s="77"/>
      <c r="G892" s="77"/>
      <c r="H892" s="79" t="n">
        <f aca="false">N(H891)+IFERROR(IF(AND($A892&lt;&gt;"",$E892&lt;&gt;"",$A892&gt;=IF(Search!$E$4="",0,Search!$E$4),$A892&lt;=IF(Search!$E$5="",99999,Search!$E$5),OR(Search!$E$6="",ISNUMBER(SEARCH(Search!$E$6,$C892))),OR(Search!$E$7="All",Search!$E$7="",$D892=Search!$E$7),OR(Search!$E$8="",Search!$E$9="",AND($B892&lt;&gt;"",MOD($B892,1)&gt;=Search!$E$8,MOD($B892,1)&lt;=Search!$E$9))),1,0),0)</f>
        <v>0</v>
      </c>
      <c r="I892" s="79" t="n">
        <f aca="false">IF(H892&gt;N(H891),$E892,0)</f>
        <v>0</v>
      </c>
      <c r="J892" s="79" t="n">
        <f aca="false">IFERROR(IF(AND($A892&lt;&gt;"",$E892&lt;&gt;"",$A892&gt;=PeriodStart,$A892&lt;=PeriodEnd),$E892+ROW()/1000000,0),0)</f>
        <v>0</v>
      </c>
    </row>
    <row r="893" customFormat="false" ht="15" hidden="false" customHeight="false" outlineLevel="0" collapsed="false">
      <c r="A893" s="75"/>
      <c r="B893" s="76"/>
      <c r="C893" s="77"/>
      <c r="D893" s="77"/>
      <c r="E893" s="78"/>
      <c r="F893" s="77"/>
      <c r="G893" s="77"/>
      <c r="H893" s="79" t="n">
        <f aca="false">N(H892)+IFERROR(IF(AND($A893&lt;&gt;"",$E893&lt;&gt;"",$A893&gt;=IF(Search!$E$4="",0,Search!$E$4),$A893&lt;=IF(Search!$E$5="",99999,Search!$E$5),OR(Search!$E$6="",ISNUMBER(SEARCH(Search!$E$6,$C893))),OR(Search!$E$7="All",Search!$E$7="",$D893=Search!$E$7),OR(Search!$E$8="",Search!$E$9="",AND($B893&lt;&gt;"",MOD($B893,1)&gt;=Search!$E$8,MOD($B893,1)&lt;=Search!$E$9))),1,0),0)</f>
        <v>0</v>
      </c>
      <c r="I893" s="79" t="n">
        <f aca="false">IF(H893&gt;N(H892),$E893,0)</f>
        <v>0</v>
      </c>
      <c r="J893" s="79" t="n">
        <f aca="false">IFERROR(IF(AND($A893&lt;&gt;"",$E893&lt;&gt;"",$A893&gt;=PeriodStart,$A893&lt;=PeriodEnd),$E893+ROW()/1000000,0),0)</f>
        <v>0</v>
      </c>
    </row>
    <row r="894" customFormat="false" ht="15" hidden="false" customHeight="false" outlineLevel="0" collapsed="false">
      <c r="A894" s="75"/>
      <c r="B894" s="76"/>
      <c r="C894" s="77"/>
      <c r="D894" s="77"/>
      <c r="E894" s="78"/>
      <c r="F894" s="77"/>
      <c r="G894" s="77"/>
      <c r="H894" s="79" t="n">
        <f aca="false">N(H893)+IFERROR(IF(AND($A894&lt;&gt;"",$E894&lt;&gt;"",$A894&gt;=IF(Search!$E$4="",0,Search!$E$4),$A894&lt;=IF(Search!$E$5="",99999,Search!$E$5),OR(Search!$E$6="",ISNUMBER(SEARCH(Search!$E$6,$C894))),OR(Search!$E$7="All",Search!$E$7="",$D894=Search!$E$7),OR(Search!$E$8="",Search!$E$9="",AND($B894&lt;&gt;"",MOD($B894,1)&gt;=Search!$E$8,MOD($B894,1)&lt;=Search!$E$9))),1,0),0)</f>
        <v>0</v>
      </c>
      <c r="I894" s="79" t="n">
        <f aca="false">IF(H894&gt;N(H893),$E894,0)</f>
        <v>0</v>
      </c>
      <c r="J894" s="79" t="n">
        <f aca="false">IFERROR(IF(AND($A894&lt;&gt;"",$E894&lt;&gt;"",$A894&gt;=PeriodStart,$A894&lt;=PeriodEnd),$E894+ROW()/1000000,0),0)</f>
        <v>0</v>
      </c>
    </row>
    <row r="895" customFormat="false" ht="15" hidden="false" customHeight="false" outlineLevel="0" collapsed="false">
      <c r="A895" s="75"/>
      <c r="B895" s="76"/>
      <c r="C895" s="77"/>
      <c r="D895" s="77"/>
      <c r="E895" s="78"/>
      <c r="F895" s="77"/>
      <c r="G895" s="77"/>
      <c r="H895" s="79" t="n">
        <f aca="false">N(H894)+IFERROR(IF(AND($A895&lt;&gt;"",$E895&lt;&gt;"",$A895&gt;=IF(Search!$E$4="",0,Search!$E$4),$A895&lt;=IF(Search!$E$5="",99999,Search!$E$5),OR(Search!$E$6="",ISNUMBER(SEARCH(Search!$E$6,$C895))),OR(Search!$E$7="All",Search!$E$7="",$D895=Search!$E$7),OR(Search!$E$8="",Search!$E$9="",AND($B895&lt;&gt;"",MOD($B895,1)&gt;=Search!$E$8,MOD($B895,1)&lt;=Search!$E$9))),1,0),0)</f>
        <v>0</v>
      </c>
      <c r="I895" s="79" t="n">
        <f aca="false">IF(H895&gt;N(H894),$E895,0)</f>
        <v>0</v>
      </c>
      <c r="J895" s="79" t="n">
        <f aca="false">IFERROR(IF(AND($A895&lt;&gt;"",$E895&lt;&gt;"",$A895&gt;=PeriodStart,$A895&lt;=PeriodEnd),$E895+ROW()/1000000,0),0)</f>
        <v>0</v>
      </c>
    </row>
    <row r="896" customFormat="false" ht="15" hidden="false" customHeight="false" outlineLevel="0" collapsed="false">
      <c r="A896" s="75"/>
      <c r="B896" s="76"/>
      <c r="C896" s="77"/>
      <c r="D896" s="77"/>
      <c r="E896" s="78"/>
      <c r="F896" s="77"/>
      <c r="G896" s="77"/>
      <c r="H896" s="79" t="n">
        <f aca="false">N(H895)+IFERROR(IF(AND($A896&lt;&gt;"",$E896&lt;&gt;"",$A896&gt;=IF(Search!$E$4="",0,Search!$E$4),$A896&lt;=IF(Search!$E$5="",99999,Search!$E$5),OR(Search!$E$6="",ISNUMBER(SEARCH(Search!$E$6,$C896))),OR(Search!$E$7="All",Search!$E$7="",$D896=Search!$E$7),OR(Search!$E$8="",Search!$E$9="",AND($B896&lt;&gt;"",MOD($B896,1)&gt;=Search!$E$8,MOD($B896,1)&lt;=Search!$E$9))),1,0),0)</f>
        <v>0</v>
      </c>
      <c r="I896" s="79" t="n">
        <f aca="false">IF(H896&gt;N(H895),$E896,0)</f>
        <v>0</v>
      </c>
      <c r="J896" s="79" t="n">
        <f aca="false">IFERROR(IF(AND($A896&lt;&gt;"",$E896&lt;&gt;"",$A896&gt;=PeriodStart,$A896&lt;=PeriodEnd),$E896+ROW()/1000000,0),0)</f>
        <v>0</v>
      </c>
    </row>
    <row r="897" customFormat="false" ht="15" hidden="false" customHeight="false" outlineLevel="0" collapsed="false">
      <c r="A897" s="75"/>
      <c r="B897" s="76"/>
      <c r="C897" s="77"/>
      <c r="D897" s="77"/>
      <c r="E897" s="78"/>
      <c r="F897" s="77"/>
      <c r="G897" s="77"/>
      <c r="H897" s="79" t="n">
        <f aca="false">N(H896)+IFERROR(IF(AND($A897&lt;&gt;"",$E897&lt;&gt;"",$A897&gt;=IF(Search!$E$4="",0,Search!$E$4),$A897&lt;=IF(Search!$E$5="",99999,Search!$E$5),OR(Search!$E$6="",ISNUMBER(SEARCH(Search!$E$6,$C897))),OR(Search!$E$7="All",Search!$E$7="",$D897=Search!$E$7),OR(Search!$E$8="",Search!$E$9="",AND($B897&lt;&gt;"",MOD($B897,1)&gt;=Search!$E$8,MOD($B897,1)&lt;=Search!$E$9))),1,0),0)</f>
        <v>0</v>
      </c>
      <c r="I897" s="79" t="n">
        <f aca="false">IF(H897&gt;N(H896),$E897,0)</f>
        <v>0</v>
      </c>
      <c r="J897" s="79" t="n">
        <f aca="false">IFERROR(IF(AND($A897&lt;&gt;"",$E897&lt;&gt;"",$A897&gt;=PeriodStart,$A897&lt;=PeriodEnd),$E897+ROW()/1000000,0),0)</f>
        <v>0</v>
      </c>
    </row>
    <row r="898" customFormat="false" ht="15" hidden="false" customHeight="false" outlineLevel="0" collapsed="false">
      <c r="A898" s="75"/>
      <c r="B898" s="76"/>
      <c r="C898" s="77"/>
      <c r="D898" s="77"/>
      <c r="E898" s="78"/>
      <c r="F898" s="77"/>
      <c r="G898" s="77"/>
      <c r="H898" s="79" t="n">
        <f aca="false">N(H897)+IFERROR(IF(AND($A898&lt;&gt;"",$E898&lt;&gt;"",$A898&gt;=IF(Search!$E$4="",0,Search!$E$4),$A898&lt;=IF(Search!$E$5="",99999,Search!$E$5),OR(Search!$E$6="",ISNUMBER(SEARCH(Search!$E$6,$C898))),OR(Search!$E$7="All",Search!$E$7="",$D898=Search!$E$7),OR(Search!$E$8="",Search!$E$9="",AND($B898&lt;&gt;"",MOD($B898,1)&gt;=Search!$E$8,MOD($B898,1)&lt;=Search!$E$9))),1,0),0)</f>
        <v>0</v>
      </c>
      <c r="I898" s="79" t="n">
        <f aca="false">IF(H898&gt;N(H897),$E898,0)</f>
        <v>0</v>
      </c>
      <c r="J898" s="79" t="n">
        <f aca="false">IFERROR(IF(AND($A898&lt;&gt;"",$E898&lt;&gt;"",$A898&gt;=PeriodStart,$A898&lt;=PeriodEnd),$E898+ROW()/1000000,0),0)</f>
        <v>0</v>
      </c>
    </row>
    <row r="899" customFormat="false" ht="15" hidden="false" customHeight="false" outlineLevel="0" collapsed="false">
      <c r="A899" s="75"/>
      <c r="B899" s="76"/>
      <c r="C899" s="77"/>
      <c r="D899" s="77"/>
      <c r="E899" s="78"/>
      <c r="F899" s="77"/>
      <c r="G899" s="77"/>
      <c r="H899" s="79" t="n">
        <f aca="false">N(H898)+IFERROR(IF(AND($A899&lt;&gt;"",$E899&lt;&gt;"",$A899&gt;=IF(Search!$E$4="",0,Search!$E$4),$A899&lt;=IF(Search!$E$5="",99999,Search!$E$5),OR(Search!$E$6="",ISNUMBER(SEARCH(Search!$E$6,$C899))),OR(Search!$E$7="All",Search!$E$7="",$D899=Search!$E$7),OR(Search!$E$8="",Search!$E$9="",AND($B899&lt;&gt;"",MOD($B899,1)&gt;=Search!$E$8,MOD($B899,1)&lt;=Search!$E$9))),1,0),0)</f>
        <v>0</v>
      </c>
      <c r="I899" s="79" t="n">
        <f aca="false">IF(H899&gt;N(H898),$E899,0)</f>
        <v>0</v>
      </c>
      <c r="J899" s="79" t="n">
        <f aca="false">IFERROR(IF(AND($A899&lt;&gt;"",$E899&lt;&gt;"",$A899&gt;=PeriodStart,$A899&lt;=PeriodEnd),$E899+ROW()/1000000,0),0)</f>
        <v>0</v>
      </c>
    </row>
    <row r="900" customFormat="false" ht="15" hidden="false" customHeight="false" outlineLevel="0" collapsed="false">
      <c r="A900" s="75"/>
      <c r="B900" s="76"/>
      <c r="C900" s="77"/>
      <c r="D900" s="77"/>
      <c r="E900" s="78"/>
      <c r="F900" s="77"/>
      <c r="G900" s="77"/>
      <c r="H900" s="79" t="n">
        <f aca="false">N(H899)+IFERROR(IF(AND($A900&lt;&gt;"",$E900&lt;&gt;"",$A900&gt;=IF(Search!$E$4="",0,Search!$E$4),$A900&lt;=IF(Search!$E$5="",99999,Search!$E$5),OR(Search!$E$6="",ISNUMBER(SEARCH(Search!$E$6,$C900))),OR(Search!$E$7="All",Search!$E$7="",$D900=Search!$E$7),OR(Search!$E$8="",Search!$E$9="",AND($B900&lt;&gt;"",MOD($B900,1)&gt;=Search!$E$8,MOD($B900,1)&lt;=Search!$E$9))),1,0),0)</f>
        <v>0</v>
      </c>
      <c r="I900" s="79" t="n">
        <f aca="false">IF(H900&gt;N(H899),$E900,0)</f>
        <v>0</v>
      </c>
      <c r="J900" s="79" t="n">
        <f aca="false">IFERROR(IF(AND($A900&lt;&gt;"",$E900&lt;&gt;"",$A900&gt;=PeriodStart,$A900&lt;=PeriodEnd),$E900+ROW()/1000000,0),0)</f>
        <v>0</v>
      </c>
    </row>
    <row r="901" customFormat="false" ht="15" hidden="false" customHeight="false" outlineLevel="0" collapsed="false">
      <c r="A901" s="75"/>
      <c r="B901" s="76"/>
      <c r="C901" s="77"/>
      <c r="D901" s="77"/>
      <c r="E901" s="78"/>
      <c r="F901" s="77"/>
      <c r="G901" s="77"/>
      <c r="H901" s="79" t="n">
        <f aca="false">N(H900)+IFERROR(IF(AND($A901&lt;&gt;"",$E901&lt;&gt;"",$A901&gt;=IF(Search!$E$4="",0,Search!$E$4),$A901&lt;=IF(Search!$E$5="",99999,Search!$E$5),OR(Search!$E$6="",ISNUMBER(SEARCH(Search!$E$6,$C901))),OR(Search!$E$7="All",Search!$E$7="",$D901=Search!$E$7),OR(Search!$E$8="",Search!$E$9="",AND($B901&lt;&gt;"",MOD($B901,1)&gt;=Search!$E$8,MOD($B901,1)&lt;=Search!$E$9))),1,0),0)</f>
        <v>0</v>
      </c>
      <c r="I901" s="79" t="n">
        <f aca="false">IF(H901&gt;N(H900),$E901,0)</f>
        <v>0</v>
      </c>
      <c r="J901" s="79" t="n">
        <f aca="false">IFERROR(IF(AND($A901&lt;&gt;"",$E901&lt;&gt;"",$A901&gt;=PeriodStart,$A901&lt;=PeriodEnd),$E901+ROW()/1000000,0),0)</f>
        <v>0</v>
      </c>
    </row>
    <row r="902" customFormat="false" ht="15" hidden="false" customHeight="false" outlineLevel="0" collapsed="false">
      <c r="A902" s="75"/>
      <c r="B902" s="76"/>
      <c r="C902" s="77"/>
      <c r="D902" s="77"/>
      <c r="E902" s="78"/>
      <c r="F902" s="77"/>
      <c r="G902" s="77"/>
      <c r="H902" s="79" t="n">
        <f aca="false">N(H901)+IFERROR(IF(AND($A902&lt;&gt;"",$E902&lt;&gt;"",$A902&gt;=IF(Search!$E$4="",0,Search!$E$4),$A902&lt;=IF(Search!$E$5="",99999,Search!$E$5),OR(Search!$E$6="",ISNUMBER(SEARCH(Search!$E$6,$C902))),OR(Search!$E$7="All",Search!$E$7="",$D902=Search!$E$7),OR(Search!$E$8="",Search!$E$9="",AND($B902&lt;&gt;"",MOD($B902,1)&gt;=Search!$E$8,MOD($B902,1)&lt;=Search!$E$9))),1,0),0)</f>
        <v>0</v>
      </c>
      <c r="I902" s="79" t="n">
        <f aca="false">IF(H902&gt;N(H901),$E902,0)</f>
        <v>0</v>
      </c>
      <c r="J902" s="79" t="n">
        <f aca="false">IFERROR(IF(AND($A902&lt;&gt;"",$E902&lt;&gt;"",$A902&gt;=PeriodStart,$A902&lt;=PeriodEnd),$E902+ROW()/1000000,0),0)</f>
        <v>0</v>
      </c>
    </row>
    <row r="903" customFormat="false" ht="15" hidden="false" customHeight="false" outlineLevel="0" collapsed="false">
      <c r="A903" s="75"/>
      <c r="B903" s="76"/>
      <c r="C903" s="77"/>
      <c r="D903" s="77"/>
      <c r="E903" s="78"/>
      <c r="F903" s="77"/>
      <c r="G903" s="77"/>
      <c r="H903" s="79" t="n">
        <f aca="false">N(H902)+IFERROR(IF(AND($A903&lt;&gt;"",$E903&lt;&gt;"",$A903&gt;=IF(Search!$E$4="",0,Search!$E$4),$A903&lt;=IF(Search!$E$5="",99999,Search!$E$5),OR(Search!$E$6="",ISNUMBER(SEARCH(Search!$E$6,$C903))),OR(Search!$E$7="All",Search!$E$7="",$D903=Search!$E$7),OR(Search!$E$8="",Search!$E$9="",AND($B903&lt;&gt;"",MOD($B903,1)&gt;=Search!$E$8,MOD($B903,1)&lt;=Search!$E$9))),1,0),0)</f>
        <v>0</v>
      </c>
      <c r="I903" s="79" t="n">
        <f aca="false">IF(H903&gt;N(H902),$E903,0)</f>
        <v>0</v>
      </c>
      <c r="J903" s="79" t="n">
        <f aca="false">IFERROR(IF(AND($A903&lt;&gt;"",$E903&lt;&gt;"",$A903&gt;=PeriodStart,$A903&lt;=PeriodEnd),$E903+ROW()/1000000,0),0)</f>
        <v>0</v>
      </c>
    </row>
    <row r="904" customFormat="false" ht="15" hidden="false" customHeight="false" outlineLevel="0" collapsed="false">
      <c r="A904" s="75"/>
      <c r="B904" s="76"/>
      <c r="C904" s="77"/>
      <c r="D904" s="77"/>
      <c r="E904" s="78"/>
      <c r="F904" s="77"/>
      <c r="G904" s="77"/>
      <c r="H904" s="79" t="n">
        <f aca="false">N(H903)+IFERROR(IF(AND($A904&lt;&gt;"",$E904&lt;&gt;"",$A904&gt;=IF(Search!$E$4="",0,Search!$E$4),$A904&lt;=IF(Search!$E$5="",99999,Search!$E$5),OR(Search!$E$6="",ISNUMBER(SEARCH(Search!$E$6,$C904))),OR(Search!$E$7="All",Search!$E$7="",$D904=Search!$E$7),OR(Search!$E$8="",Search!$E$9="",AND($B904&lt;&gt;"",MOD($B904,1)&gt;=Search!$E$8,MOD($B904,1)&lt;=Search!$E$9))),1,0),0)</f>
        <v>0</v>
      </c>
      <c r="I904" s="79" t="n">
        <f aca="false">IF(H904&gt;N(H903),$E904,0)</f>
        <v>0</v>
      </c>
      <c r="J904" s="79" t="n">
        <f aca="false">IFERROR(IF(AND($A904&lt;&gt;"",$E904&lt;&gt;"",$A904&gt;=PeriodStart,$A904&lt;=PeriodEnd),$E904+ROW()/1000000,0),0)</f>
        <v>0</v>
      </c>
    </row>
    <row r="905" customFormat="false" ht="15" hidden="false" customHeight="false" outlineLevel="0" collapsed="false">
      <c r="A905" s="75"/>
      <c r="B905" s="76"/>
      <c r="C905" s="77"/>
      <c r="D905" s="77"/>
      <c r="E905" s="78"/>
      <c r="F905" s="77"/>
      <c r="G905" s="77"/>
      <c r="H905" s="79" t="n">
        <f aca="false">N(H904)+IFERROR(IF(AND($A905&lt;&gt;"",$E905&lt;&gt;"",$A905&gt;=IF(Search!$E$4="",0,Search!$E$4),$A905&lt;=IF(Search!$E$5="",99999,Search!$E$5),OR(Search!$E$6="",ISNUMBER(SEARCH(Search!$E$6,$C905))),OR(Search!$E$7="All",Search!$E$7="",$D905=Search!$E$7),OR(Search!$E$8="",Search!$E$9="",AND($B905&lt;&gt;"",MOD($B905,1)&gt;=Search!$E$8,MOD($B905,1)&lt;=Search!$E$9))),1,0),0)</f>
        <v>0</v>
      </c>
      <c r="I905" s="79" t="n">
        <f aca="false">IF(H905&gt;N(H904),$E905,0)</f>
        <v>0</v>
      </c>
      <c r="J905" s="79" t="n">
        <f aca="false">IFERROR(IF(AND($A905&lt;&gt;"",$E905&lt;&gt;"",$A905&gt;=PeriodStart,$A905&lt;=PeriodEnd),$E905+ROW()/1000000,0),0)</f>
        <v>0</v>
      </c>
    </row>
    <row r="906" customFormat="false" ht="15" hidden="false" customHeight="false" outlineLevel="0" collapsed="false">
      <c r="A906" s="75"/>
      <c r="B906" s="76"/>
      <c r="C906" s="77"/>
      <c r="D906" s="77"/>
      <c r="E906" s="78"/>
      <c r="F906" s="77"/>
      <c r="G906" s="77"/>
      <c r="H906" s="79" t="n">
        <f aca="false">N(H905)+IFERROR(IF(AND($A906&lt;&gt;"",$E906&lt;&gt;"",$A906&gt;=IF(Search!$E$4="",0,Search!$E$4),$A906&lt;=IF(Search!$E$5="",99999,Search!$E$5),OR(Search!$E$6="",ISNUMBER(SEARCH(Search!$E$6,$C906))),OR(Search!$E$7="All",Search!$E$7="",$D906=Search!$E$7),OR(Search!$E$8="",Search!$E$9="",AND($B906&lt;&gt;"",MOD($B906,1)&gt;=Search!$E$8,MOD($B906,1)&lt;=Search!$E$9))),1,0),0)</f>
        <v>0</v>
      </c>
      <c r="I906" s="79" t="n">
        <f aca="false">IF(H906&gt;N(H905),$E906,0)</f>
        <v>0</v>
      </c>
      <c r="J906" s="79" t="n">
        <f aca="false">IFERROR(IF(AND($A906&lt;&gt;"",$E906&lt;&gt;"",$A906&gt;=PeriodStart,$A906&lt;=PeriodEnd),$E906+ROW()/1000000,0),0)</f>
        <v>0</v>
      </c>
    </row>
    <row r="907" customFormat="false" ht="15" hidden="false" customHeight="false" outlineLevel="0" collapsed="false">
      <c r="A907" s="75"/>
      <c r="B907" s="76"/>
      <c r="C907" s="77"/>
      <c r="D907" s="77"/>
      <c r="E907" s="78"/>
      <c r="F907" s="77"/>
      <c r="G907" s="77"/>
      <c r="H907" s="79" t="n">
        <f aca="false">N(H906)+IFERROR(IF(AND($A907&lt;&gt;"",$E907&lt;&gt;"",$A907&gt;=IF(Search!$E$4="",0,Search!$E$4),$A907&lt;=IF(Search!$E$5="",99999,Search!$E$5),OR(Search!$E$6="",ISNUMBER(SEARCH(Search!$E$6,$C907))),OR(Search!$E$7="All",Search!$E$7="",$D907=Search!$E$7),OR(Search!$E$8="",Search!$E$9="",AND($B907&lt;&gt;"",MOD($B907,1)&gt;=Search!$E$8,MOD($B907,1)&lt;=Search!$E$9))),1,0),0)</f>
        <v>0</v>
      </c>
      <c r="I907" s="79" t="n">
        <f aca="false">IF(H907&gt;N(H906),$E907,0)</f>
        <v>0</v>
      </c>
      <c r="J907" s="79" t="n">
        <f aca="false">IFERROR(IF(AND($A907&lt;&gt;"",$E907&lt;&gt;"",$A907&gt;=PeriodStart,$A907&lt;=PeriodEnd),$E907+ROW()/1000000,0),0)</f>
        <v>0</v>
      </c>
    </row>
    <row r="908" customFormat="false" ht="15" hidden="false" customHeight="false" outlineLevel="0" collapsed="false">
      <c r="A908" s="75"/>
      <c r="B908" s="76"/>
      <c r="C908" s="77"/>
      <c r="D908" s="77"/>
      <c r="E908" s="78"/>
      <c r="F908" s="77"/>
      <c r="G908" s="77"/>
      <c r="H908" s="79" t="n">
        <f aca="false">N(H907)+IFERROR(IF(AND($A908&lt;&gt;"",$E908&lt;&gt;"",$A908&gt;=IF(Search!$E$4="",0,Search!$E$4),$A908&lt;=IF(Search!$E$5="",99999,Search!$E$5),OR(Search!$E$6="",ISNUMBER(SEARCH(Search!$E$6,$C908))),OR(Search!$E$7="All",Search!$E$7="",$D908=Search!$E$7),OR(Search!$E$8="",Search!$E$9="",AND($B908&lt;&gt;"",MOD($B908,1)&gt;=Search!$E$8,MOD($B908,1)&lt;=Search!$E$9))),1,0),0)</f>
        <v>0</v>
      </c>
      <c r="I908" s="79" t="n">
        <f aca="false">IF(H908&gt;N(H907),$E908,0)</f>
        <v>0</v>
      </c>
      <c r="J908" s="79" t="n">
        <f aca="false">IFERROR(IF(AND($A908&lt;&gt;"",$E908&lt;&gt;"",$A908&gt;=PeriodStart,$A908&lt;=PeriodEnd),$E908+ROW()/1000000,0),0)</f>
        <v>0</v>
      </c>
    </row>
    <row r="909" customFormat="false" ht="15" hidden="false" customHeight="false" outlineLevel="0" collapsed="false">
      <c r="A909" s="75"/>
      <c r="B909" s="76"/>
      <c r="C909" s="77"/>
      <c r="D909" s="77"/>
      <c r="E909" s="78"/>
      <c r="F909" s="77"/>
      <c r="G909" s="77"/>
      <c r="H909" s="79" t="n">
        <f aca="false">N(H908)+IFERROR(IF(AND($A909&lt;&gt;"",$E909&lt;&gt;"",$A909&gt;=IF(Search!$E$4="",0,Search!$E$4),$A909&lt;=IF(Search!$E$5="",99999,Search!$E$5),OR(Search!$E$6="",ISNUMBER(SEARCH(Search!$E$6,$C909))),OR(Search!$E$7="All",Search!$E$7="",$D909=Search!$E$7),OR(Search!$E$8="",Search!$E$9="",AND($B909&lt;&gt;"",MOD($B909,1)&gt;=Search!$E$8,MOD($B909,1)&lt;=Search!$E$9))),1,0),0)</f>
        <v>0</v>
      </c>
      <c r="I909" s="79" t="n">
        <f aca="false">IF(H909&gt;N(H908),$E909,0)</f>
        <v>0</v>
      </c>
      <c r="J909" s="79" t="n">
        <f aca="false">IFERROR(IF(AND($A909&lt;&gt;"",$E909&lt;&gt;"",$A909&gt;=PeriodStart,$A909&lt;=PeriodEnd),$E909+ROW()/1000000,0),0)</f>
        <v>0</v>
      </c>
    </row>
    <row r="910" customFormat="false" ht="15" hidden="false" customHeight="false" outlineLevel="0" collapsed="false">
      <c r="A910" s="75"/>
      <c r="B910" s="76"/>
      <c r="C910" s="77"/>
      <c r="D910" s="77"/>
      <c r="E910" s="78"/>
      <c r="F910" s="77"/>
      <c r="G910" s="77"/>
      <c r="H910" s="79" t="n">
        <f aca="false">N(H909)+IFERROR(IF(AND($A910&lt;&gt;"",$E910&lt;&gt;"",$A910&gt;=IF(Search!$E$4="",0,Search!$E$4),$A910&lt;=IF(Search!$E$5="",99999,Search!$E$5),OR(Search!$E$6="",ISNUMBER(SEARCH(Search!$E$6,$C910))),OR(Search!$E$7="All",Search!$E$7="",$D910=Search!$E$7),OR(Search!$E$8="",Search!$E$9="",AND($B910&lt;&gt;"",MOD($B910,1)&gt;=Search!$E$8,MOD($B910,1)&lt;=Search!$E$9))),1,0),0)</f>
        <v>0</v>
      </c>
      <c r="I910" s="79" t="n">
        <f aca="false">IF(H910&gt;N(H909),$E910,0)</f>
        <v>0</v>
      </c>
      <c r="J910" s="79" t="n">
        <f aca="false">IFERROR(IF(AND($A910&lt;&gt;"",$E910&lt;&gt;"",$A910&gt;=PeriodStart,$A910&lt;=PeriodEnd),$E910+ROW()/1000000,0),0)</f>
        <v>0</v>
      </c>
    </row>
    <row r="911" customFormat="false" ht="15" hidden="false" customHeight="false" outlineLevel="0" collapsed="false">
      <c r="A911" s="75"/>
      <c r="B911" s="76"/>
      <c r="C911" s="77"/>
      <c r="D911" s="77"/>
      <c r="E911" s="78"/>
      <c r="F911" s="77"/>
      <c r="G911" s="77"/>
      <c r="H911" s="79" t="n">
        <f aca="false">N(H910)+IFERROR(IF(AND($A911&lt;&gt;"",$E911&lt;&gt;"",$A911&gt;=IF(Search!$E$4="",0,Search!$E$4),$A911&lt;=IF(Search!$E$5="",99999,Search!$E$5),OR(Search!$E$6="",ISNUMBER(SEARCH(Search!$E$6,$C911))),OR(Search!$E$7="All",Search!$E$7="",$D911=Search!$E$7),OR(Search!$E$8="",Search!$E$9="",AND($B911&lt;&gt;"",MOD($B911,1)&gt;=Search!$E$8,MOD($B911,1)&lt;=Search!$E$9))),1,0),0)</f>
        <v>0</v>
      </c>
      <c r="I911" s="79" t="n">
        <f aca="false">IF(H911&gt;N(H910),$E911,0)</f>
        <v>0</v>
      </c>
      <c r="J911" s="79" t="n">
        <f aca="false">IFERROR(IF(AND($A911&lt;&gt;"",$E911&lt;&gt;"",$A911&gt;=PeriodStart,$A911&lt;=PeriodEnd),$E911+ROW()/1000000,0),0)</f>
        <v>0</v>
      </c>
    </row>
    <row r="912" customFormat="false" ht="15" hidden="false" customHeight="false" outlineLevel="0" collapsed="false">
      <c r="A912" s="75"/>
      <c r="B912" s="76"/>
      <c r="C912" s="77"/>
      <c r="D912" s="77"/>
      <c r="E912" s="78"/>
      <c r="F912" s="77"/>
      <c r="G912" s="77"/>
      <c r="H912" s="79" t="n">
        <f aca="false">N(H911)+IFERROR(IF(AND($A912&lt;&gt;"",$E912&lt;&gt;"",$A912&gt;=IF(Search!$E$4="",0,Search!$E$4),$A912&lt;=IF(Search!$E$5="",99999,Search!$E$5),OR(Search!$E$6="",ISNUMBER(SEARCH(Search!$E$6,$C912))),OR(Search!$E$7="All",Search!$E$7="",$D912=Search!$E$7),OR(Search!$E$8="",Search!$E$9="",AND($B912&lt;&gt;"",MOD($B912,1)&gt;=Search!$E$8,MOD($B912,1)&lt;=Search!$E$9))),1,0),0)</f>
        <v>0</v>
      </c>
      <c r="I912" s="79" t="n">
        <f aca="false">IF(H912&gt;N(H911),$E912,0)</f>
        <v>0</v>
      </c>
      <c r="J912" s="79" t="n">
        <f aca="false">IFERROR(IF(AND($A912&lt;&gt;"",$E912&lt;&gt;"",$A912&gt;=PeriodStart,$A912&lt;=PeriodEnd),$E912+ROW()/1000000,0),0)</f>
        <v>0</v>
      </c>
    </row>
    <row r="913" customFormat="false" ht="15" hidden="false" customHeight="false" outlineLevel="0" collapsed="false">
      <c r="A913" s="75"/>
      <c r="B913" s="76"/>
      <c r="C913" s="77"/>
      <c r="D913" s="77"/>
      <c r="E913" s="78"/>
      <c r="F913" s="77"/>
      <c r="G913" s="77"/>
      <c r="H913" s="79" t="n">
        <f aca="false">N(H912)+IFERROR(IF(AND($A913&lt;&gt;"",$E913&lt;&gt;"",$A913&gt;=IF(Search!$E$4="",0,Search!$E$4),$A913&lt;=IF(Search!$E$5="",99999,Search!$E$5),OR(Search!$E$6="",ISNUMBER(SEARCH(Search!$E$6,$C913))),OR(Search!$E$7="All",Search!$E$7="",$D913=Search!$E$7),OR(Search!$E$8="",Search!$E$9="",AND($B913&lt;&gt;"",MOD($B913,1)&gt;=Search!$E$8,MOD($B913,1)&lt;=Search!$E$9))),1,0),0)</f>
        <v>0</v>
      </c>
      <c r="I913" s="79" t="n">
        <f aca="false">IF(H913&gt;N(H912),$E913,0)</f>
        <v>0</v>
      </c>
      <c r="J913" s="79" t="n">
        <f aca="false">IFERROR(IF(AND($A913&lt;&gt;"",$E913&lt;&gt;"",$A913&gt;=PeriodStart,$A913&lt;=PeriodEnd),$E913+ROW()/1000000,0),0)</f>
        <v>0</v>
      </c>
    </row>
    <row r="914" customFormat="false" ht="15" hidden="false" customHeight="false" outlineLevel="0" collapsed="false">
      <c r="A914" s="75"/>
      <c r="B914" s="76"/>
      <c r="C914" s="77"/>
      <c r="D914" s="77"/>
      <c r="E914" s="78"/>
      <c r="F914" s="77"/>
      <c r="G914" s="77"/>
      <c r="H914" s="79" t="n">
        <f aca="false">N(H913)+IFERROR(IF(AND($A914&lt;&gt;"",$E914&lt;&gt;"",$A914&gt;=IF(Search!$E$4="",0,Search!$E$4),$A914&lt;=IF(Search!$E$5="",99999,Search!$E$5),OR(Search!$E$6="",ISNUMBER(SEARCH(Search!$E$6,$C914))),OR(Search!$E$7="All",Search!$E$7="",$D914=Search!$E$7),OR(Search!$E$8="",Search!$E$9="",AND($B914&lt;&gt;"",MOD($B914,1)&gt;=Search!$E$8,MOD($B914,1)&lt;=Search!$E$9))),1,0),0)</f>
        <v>0</v>
      </c>
      <c r="I914" s="79" t="n">
        <f aca="false">IF(H914&gt;N(H913),$E914,0)</f>
        <v>0</v>
      </c>
      <c r="J914" s="79" t="n">
        <f aca="false">IFERROR(IF(AND($A914&lt;&gt;"",$E914&lt;&gt;"",$A914&gt;=PeriodStart,$A914&lt;=PeriodEnd),$E914+ROW()/1000000,0),0)</f>
        <v>0</v>
      </c>
    </row>
    <row r="915" customFormat="false" ht="15" hidden="false" customHeight="false" outlineLevel="0" collapsed="false">
      <c r="A915" s="75"/>
      <c r="B915" s="76"/>
      <c r="C915" s="77"/>
      <c r="D915" s="77"/>
      <c r="E915" s="78"/>
      <c r="F915" s="77"/>
      <c r="G915" s="77"/>
      <c r="H915" s="79" t="n">
        <f aca="false">N(H914)+IFERROR(IF(AND($A915&lt;&gt;"",$E915&lt;&gt;"",$A915&gt;=IF(Search!$E$4="",0,Search!$E$4),$A915&lt;=IF(Search!$E$5="",99999,Search!$E$5),OR(Search!$E$6="",ISNUMBER(SEARCH(Search!$E$6,$C915))),OR(Search!$E$7="All",Search!$E$7="",$D915=Search!$E$7),OR(Search!$E$8="",Search!$E$9="",AND($B915&lt;&gt;"",MOD($B915,1)&gt;=Search!$E$8,MOD($B915,1)&lt;=Search!$E$9))),1,0),0)</f>
        <v>0</v>
      </c>
      <c r="I915" s="79" t="n">
        <f aca="false">IF(H915&gt;N(H914),$E915,0)</f>
        <v>0</v>
      </c>
      <c r="J915" s="79" t="n">
        <f aca="false">IFERROR(IF(AND($A915&lt;&gt;"",$E915&lt;&gt;"",$A915&gt;=PeriodStart,$A915&lt;=PeriodEnd),$E915+ROW()/1000000,0),0)</f>
        <v>0</v>
      </c>
    </row>
    <row r="916" customFormat="false" ht="15" hidden="false" customHeight="false" outlineLevel="0" collapsed="false">
      <c r="A916" s="75"/>
      <c r="B916" s="76"/>
      <c r="C916" s="77"/>
      <c r="D916" s="77"/>
      <c r="E916" s="78"/>
      <c r="F916" s="77"/>
      <c r="G916" s="77"/>
      <c r="H916" s="79" t="n">
        <f aca="false">N(H915)+IFERROR(IF(AND($A916&lt;&gt;"",$E916&lt;&gt;"",$A916&gt;=IF(Search!$E$4="",0,Search!$E$4),$A916&lt;=IF(Search!$E$5="",99999,Search!$E$5),OR(Search!$E$6="",ISNUMBER(SEARCH(Search!$E$6,$C916))),OR(Search!$E$7="All",Search!$E$7="",$D916=Search!$E$7),OR(Search!$E$8="",Search!$E$9="",AND($B916&lt;&gt;"",MOD($B916,1)&gt;=Search!$E$8,MOD($B916,1)&lt;=Search!$E$9))),1,0),0)</f>
        <v>0</v>
      </c>
      <c r="I916" s="79" t="n">
        <f aca="false">IF(H916&gt;N(H915),$E916,0)</f>
        <v>0</v>
      </c>
      <c r="J916" s="79" t="n">
        <f aca="false">IFERROR(IF(AND($A916&lt;&gt;"",$E916&lt;&gt;"",$A916&gt;=PeriodStart,$A916&lt;=PeriodEnd),$E916+ROW()/1000000,0),0)</f>
        <v>0</v>
      </c>
    </row>
    <row r="917" customFormat="false" ht="15" hidden="false" customHeight="false" outlineLevel="0" collapsed="false">
      <c r="A917" s="75"/>
      <c r="B917" s="76"/>
      <c r="C917" s="77"/>
      <c r="D917" s="77"/>
      <c r="E917" s="78"/>
      <c r="F917" s="77"/>
      <c r="G917" s="77"/>
      <c r="H917" s="79" t="n">
        <f aca="false">N(H916)+IFERROR(IF(AND($A917&lt;&gt;"",$E917&lt;&gt;"",$A917&gt;=IF(Search!$E$4="",0,Search!$E$4),$A917&lt;=IF(Search!$E$5="",99999,Search!$E$5),OR(Search!$E$6="",ISNUMBER(SEARCH(Search!$E$6,$C917))),OR(Search!$E$7="All",Search!$E$7="",$D917=Search!$E$7),OR(Search!$E$8="",Search!$E$9="",AND($B917&lt;&gt;"",MOD($B917,1)&gt;=Search!$E$8,MOD($B917,1)&lt;=Search!$E$9))),1,0),0)</f>
        <v>0</v>
      </c>
      <c r="I917" s="79" t="n">
        <f aca="false">IF(H917&gt;N(H916),$E917,0)</f>
        <v>0</v>
      </c>
      <c r="J917" s="79" t="n">
        <f aca="false">IFERROR(IF(AND($A917&lt;&gt;"",$E917&lt;&gt;"",$A917&gt;=PeriodStart,$A917&lt;=PeriodEnd),$E917+ROW()/1000000,0),0)</f>
        <v>0</v>
      </c>
    </row>
    <row r="918" customFormat="false" ht="15" hidden="false" customHeight="false" outlineLevel="0" collapsed="false">
      <c r="A918" s="75"/>
      <c r="B918" s="76"/>
      <c r="C918" s="77"/>
      <c r="D918" s="77"/>
      <c r="E918" s="78"/>
      <c r="F918" s="77"/>
      <c r="G918" s="77"/>
      <c r="H918" s="79" t="n">
        <f aca="false">N(H917)+IFERROR(IF(AND($A918&lt;&gt;"",$E918&lt;&gt;"",$A918&gt;=IF(Search!$E$4="",0,Search!$E$4),$A918&lt;=IF(Search!$E$5="",99999,Search!$E$5),OR(Search!$E$6="",ISNUMBER(SEARCH(Search!$E$6,$C918))),OR(Search!$E$7="All",Search!$E$7="",$D918=Search!$E$7),OR(Search!$E$8="",Search!$E$9="",AND($B918&lt;&gt;"",MOD($B918,1)&gt;=Search!$E$8,MOD($B918,1)&lt;=Search!$E$9))),1,0),0)</f>
        <v>0</v>
      </c>
      <c r="I918" s="79" t="n">
        <f aca="false">IF(H918&gt;N(H917),$E918,0)</f>
        <v>0</v>
      </c>
      <c r="J918" s="79" t="n">
        <f aca="false">IFERROR(IF(AND($A918&lt;&gt;"",$E918&lt;&gt;"",$A918&gt;=PeriodStart,$A918&lt;=PeriodEnd),$E918+ROW()/1000000,0),0)</f>
        <v>0</v>
      </c>
    </row>
    <row r="919" customFormat="false" ht="15" hidden="false" customHeight="false" outlineLevel="0" collapsed="false">
      <c r="A919" s="75"/>
      <c r="B919" s="76"/>
      <c r="C919" s="77"/>
      <c r="D919" s="77"/>
      <c r="E919" s="78"/>
      <c r="F919" s="77"/>
      <c r="G919" s="77"/>
      <c r="H919" s="79" t="n">
        <f aca="false">N(H918)+IFERROR(IF(AND($A919&lt;&gt;"",$E919&lt;&gt;"",$A919&gt;=IF(Search!$E$4="",0,Search!$E$4),$A919&lt;=IF(Search!$E$5="",99999,Search!$E$5),OR(Search!$E$6="",ISNUMBER(SEARCH(Search!$E$6,$C919))),OR(Search!$E$7="All",Search!$E$7="",$D919=Search!$E$7),OR(Search!$E$8="",Search!$E$9="",AND($B919&lt;&gt;"",MOD($B919,1)&gt;=Search!$E$8,MOD($B919,1)&lt;=Search!$E$9))),1,0),0)</f>
        <v>0</v>
      </c>
      <c r="I919" s="79" t="n">
        <f aca="false">IF(H919&gt;N(H918),$E919,0)</f>
        <v>0</v>
      </c>
      <c r="J919" s="79" t="n">
        <f aca="false">IFERROR(IF(AND($A919&lt;&gt;"",$E919&lt;&gt;"",$A919&gt;=PeriodStart,$A919&lt;=PeriodEnd),$E919+ROW()/1000000,0),0)</f>
        <v>0</v>
      </c>
    </row>
    <row r="920" customFormat="false" ht="15" hidden="false" customHeight="false" outlineLevel="0" collapsed="false">
      <c r="A920" s="75"/>
      <c r="B920" s="76"/>
      <c r="C920" s="77"/>
      <c r="D920" s="77"/>
      <c r="E920" s="78"/>
      <c r="F920" s="77"/>
      <c r="G920" s="77"/>
      <c r="H920" s="79" t="n">
        <f aca="false">N(H919)+IFERROR(IF(AND($A920&lt;&gt;"",$E920&lt;&gt;"",$A920&gt;=IF(Search!$E$4="",0,Search!$E$4),$A920&lt;=IF(Search!$E$5="",99999,Search!$E$5),OR(Search!$E$6="",ISNUMBER(SEARCH(Search!$E$6,$C920))),OR(Search!$E$7="All",Search!$E$7="",$D920=Search!$E$7),OR(Search!$E$8="",Search!$E$9="",AND($B920&lt;&gt;"",MOD($B920,1)&gt;=Search!$E$8,MOD($B920,1)&lt;=Search!$E$9))),1,0),0)</f>
        <v>0</v>
      </c>
      <c r="I920" s="79" t="n">
        <f aca="false">IF(H920&gt;N(H919),$E920,0)</f>
        <v>0</v>
      </c>
      <c r="J920" s="79" t="n">
        <f aca="false">IFERROR(IF(AND($A920&lt;&gt;"",$E920&lt;&gt;"",$A920&gt;=PeriodStart,$A920&lt;=PeriodEnd),$E920+ROW()/1000000,0),0)</f>
        <v>0</v>
      </c>
    </row>
    <row r="921" customFormat="false" ht="15" hidden="false" customHeight="false" outlineLevel="0" collapsed="false">
      <c r="A921" s="75"/>
      <c r="B921" s="76"/>
      <c r="C921" s="77"/>
      <c r="D921" s="77"/>
      <c r="E921" s="78"/>
      <c r="F921" s="77"/>
      <c r="G921" s="77"/>
      <c r="H921" s="79" t="n">
        <f aca="false">N(H920)+IFERROR(IF(AND($A921&lt;&gt;"",$E921&lt;&gt;"",$A921&gt;=IF(Search!$E$4="",0,Search!$E$4),$A921&lt;=IF(Search!$E$5="",99999,Search!$E$5),OR(Search!$E$6="",ISNUMBER(SEARCH(Search!$E$6,$C921))),OR(Search!$E$7="All",Search!$E$7="",$D921=Search!$E$7),OR(Search!$E$8="",Search!$E$9="",AND($B921&lt;&gt;"",MOD($B921,1)&gt;=Search!$E$8,MOD($B921,1)&lt;=Search!$E$9))),1,0),0)</f>
        <v>0</v>
      </c>
      <c r="I921" s="79" t="n">
        <f aca="false">IF(H921&gt;N(H920),$E921,0)</f>
        <v>0</v>
      </c>
      <c r="J921" s="79" t="n">
        <f aca="false">IFERROR(IF(AND($A921&lt;&gt;"",$E921&lt;&gt;"",$A921&gt;=PeriodStart,$A921&lt;=PeriodEnd),$E921+ROW()/1000000,0),0)</f>
        <v>0</v>
      </c>
    </row>
    <row r="922" customFormat="false" ht="15" hidden="false" customHeight="false" outlineLevel="0" collapsed="false">
      <c r="A922" s="75"/>
      <c r="B922" s="76"/>
      <c r="C922" s="77"/>
      <c r="D922" s="77"/>
      <c r="E922" s="78"/>
      <c r="F922" s="77"/>
      <c r="G922" s="77"/>
      <c r="H922" s="79" t="n">
        <f aca="false">N(H921)+IFERROR(IF(AND($A922&lt;&gt;"",$E922&lt;&gt;"",$A922&gt;=IF(Search!$E$4="",0,Search!$E$4),$A922&lt;=IF(Search!$E$5="",99999,Search!$E$5),OR(Search!$E$6="",ISNUMBER(SEARCH(Search!$E$6,$C922))),OR(Search!$E$7="All",Search!$E$7="",$D922=Search!$E$7),OR(Search!$E$8="",Search!$E$9="",AND($B922&lt;&gt;"",MOD($B922,1)&gt;=Search!$E$8,MOD($B922,1)&lt;=Search!$E$9))),1,0),0)</f>
        <v>0</v>
      </c>
      <c r="I922" s="79" t="n">
        <f aca="false">IF(H922&gt;N(H921),$E922,0)</f>
        <v>0</v>
      </c>
      <c r="J922" s="79" t="n">
        <f aca="false">IFERROR(IF(AND($A922&lt;&gt;"",$E922&lt;&gt;"",$A922&gt;=PeriodStart,$A922&lt;=PeriodEnd),$E922+ROW()/1000000,0),0)</f>
        <v>0</v>
      </c>
    </row>
    <row r="923" customFormat="false" ht="15" hidden="false" customHeight="false" outlineLevel="0" collapsed="false">
      <c r="A923" s="75"/>
      <c r="B923" s="76"/>
      <c r="C923" s="77"/>
      <c r="D923" s="77"/>
      <c r="E923" s="78"/>
      <c r="F923" s="77"/>
      <c r="G923" s="77"/>
      <c r="H923" s="79" t="n">
        <f aca="false">N(H922)+IFERROR(IF(AND($A923&lt;&gt;"",$E923&lt;&gt;"",$A923&gt;=IF(Search!$E$4="",0,Search!$E$4),$A923&lt;=IF(Search!$E$5="",99999,Search!$E$5),OR(Search!$E$6="",ISNUMBER(SEARCH(Search!$E$6,$C923))),OR(Search!$E$7="All",Search!$E$7="",$D923=Search!$E$7),OR(Search!$E$8="",Search!$E$9="",AND($B923&lt;&gt;"",MOD($B923,1)&gt;=Search!$E$8,MOD($B923,1)&lt;=Search!$E$9))),1,0),0)</f>
        <v>0</v>
      </c>
      <c r="I923" s="79" t="n">
        <f aca="false">IF(H923&gt;N(H922),$E923,0)</f>
        <v>0</v>
      </c>
      <c r="J923" s="79" t="n">
        <f aca="false">IFERROR(IF(AND($A923&lt;&gt;"",$E923&lt;&gt;"",$A923&gt;=PeriodStart,$A923&lt;=PeriodEnd),$E923+ROW()/1000000,0),0)</f>
        <v>0</v>
      </c>
    </row>
    <row r="924" customFormat="false" ht="15" hidden="false" customHeight="false" outlineLevel="0" collapsed="false">
      <c r="A924" s="75"/>
      <c r="B924" s="76"/>
      <c r="C924" s="77"/>
      <c r="D924" s="77"/>
      <c r="E924" s="78"/>
      <c r="F924" s="77"/>
      <c r="G924" s="77"/>
      <c r="H924" s="79" t="n">
        <f aca="false">N(H923)+IFERROR(IF(AND($A924&lt;&gt;"",$E924&lt;&gt;"",$A924&gt;=IF(Search!$E$4="",0,Search!$E$4),$A924&lt;=IF(Search!$E$5="",99999,Search!$E$5),OR(Search!$E$6="",ISNUMBER(SEARCH(Search!$E$6,$C924))),OR(Search!$E$7="All",Search!$E$7="",$D924=Search!$E$7),OR(Search!$E$8="",Search!$E$9="",AND($B924&lt;&gt;"",MOD($B924,1)&gt;=Search!$E$8,MOD($B924,1)&lt;=Search!$E$9))),1,0),0)</f>
        <v>0</v>
      </c>
      <c r="I924" s="79" t="n">
        <f aca="false">IF(H924&gt;N(H923),$E924,0)</f>
        <v>0</v>
      </c>
      <c r="J924" s="79" t="n">
        <f aca="false">IFERROR(IF(AND($A924&lt;&gt;"",$E924&lt;&gt;"",$A924&gt;=PeriodStart,$A924&lt;=PeriodEnd),$E924+ROW()/1000000,0),0)</f>
        <v>0</v>
      </c>
    </row>
    <row r="925" customFormat="false" ht="15" hidden="false" customHeight="false" outlineLevel="0" collapsed="false">
      <c r="A925" s="75"/>
      <c r="B925" s="76"/>
      <c r="C925" s="77"/>
      <c r="D925" s="77"/>
      <c r="E925" s="78"/>
      <c r="F925" s="77"/>
      <c r="G925" s="77"/>
      <c r="H925" s="79" t="n">
        <f aca="false">N(H924)+IFERROR(IF(AND($A925&lt;&gt;"",$E925&lt;&gt;"",$A925&gt;=IF(Search!$E$4="",0,Search!$E$4),$A925&lt;=IF(Search!$E$5="",99999,Search!$E$5),OR(Search!$E$6="",ISNUMBER(SEARCH(Search!$E$6,$C925))),OR(Search!$E$7="All",Search!$E$7="",$D925=Search!$E$7),OR(Search!$E$8="",Search!$E$9="",AND($B925&lt;&gt;"",MOD($B925,1)&gt;=Search!$E$8,MOD($B925,1)&lt;=Search!$E$9))),1,0),0)</f>
        <v>0</v>
      </c>
      <c r="I925" s="79" t="n">
        <f aca="false">IF(H925&gt;N(H924),$E925,0)</f>
        <v>0</v>
      </c>
      <c r="J925" s="79" t="n">
        <f aca="false">IFERROR(IF(AND($A925&lt;&gt;"",$E925&lt;&gt;"",$A925&gt;=PeriodStart,$A925&lt;=PeriodEnd),$E925+ROW()/1000000,0),0)</f>
        <v>0</v>
      </c>
    </row>
    <row r="926" customFormat="false" ht="15" hidden="false" customHeight="false" outlineLevel="0" collapsed="false">
      <c r="A926" s="75"/>
      <c r="B926" s="76"/>
      <c r="C926" s="77"/>
      <c r="D926" s="77"/>
      <c r="E926" s="78"/>
      <c r="F926" s="77"/>
      <c r="G926" s="77"/>
      <c r="H926" s="79" t="n">
        <f aca="false">N(H925)+IFERROR(IF(AND($A926&lt;&gt;"",$E926&lt;&gt;"",$A926&gt;=IF(Search!$E$4="",0,Search!$E$4),$A926&lt;=IF(Search!$E$5="",99999,Search!$E$5),OR(Search!$E$6="",ISNUMBER(SEARCH(Search!$E$6,$C926))),OR(Search!$E$7="All",Search!$E$7="",$D926=Search!$E$7),OR(Search!$E$8="",Search!$E$9="",AND($B926&lt;&gt;"",MOD($B926,1)&gt;=Search!$E$8,MOD($B926,1)&lt;=Search!$E$9))),1,0),0)</f>
        <v>0</v>
      </c>
      <c r="I926" s="79" t="n">
        <f aca="false">IF(H926&gt;N(H925),$E926,0)</f>
        <v>0</v>
      </c>
      <c r="J926" s="79" t="n">
        <f aca="false">IFERROR(IF(AND($A926&lt;&gt;"",$E926&lt;&gt;"",$A926&gt;=PeriodStart,$A926&lt;=PeriodEnd),$E926+ROW()/1000000,0),0)</f>
        <v>0</v>
      </c>
    </row>
    <row r="927" customFormat="false" ht="15" hidden="false" customHeight="false" outlineLevel="0" collapsed="false">
      <c r="A927" s="75"/>
      <c r="B927" s="76"/>
      <c r="C927" s="77"/>
      <c r="D927" s="77"/>
      <c r="E927" s="78"/>
      <c r="F927" s="77"/>
      <c r="G927" s="77"/>
      <c r="H927" s="79" t="n">
        <f aca="false">N(H926)+IFERROR(IF(AND($A927&lt;&gt;"",$E927&lt;&gt;"",$A927&gt;=IF(Search!$E$4="",0,Search!$E$4),$A927&lt;=IF(Search!$E$5="",99999,Search!$E$5),OR(Search!$E$6="",ISNUMBER(SEARCH(Search!$E$6,$C927))),OR(Search!$E$7="All",Search!$E$7="",$D927=Search!$E$7),OR(Search!$E$8="",Search!$E$9="",AND($B927&lt;&gt;"",MOD($B927,1)&gt;=Search!$E$8,MOD($B927,1)&lt;=Search!$E$9))),1,0),0)</f>
        <v>0</v>
      </c>
      <c r="I927" s="79" t="n">
        <f aca="false">IF(H927&gt;N(H926),$E927,0)</f>
        <v>0</v>
      </c>
      <c r="J927" s="79" t="n">
        <f aca="false">IFERROR(IF(AND($A927&lt;&gt;"",$E927&lt;&gt;"",$A927&gt;=PeriodStart,$A927&lt;=PeriodEnd),$E927+ROW()/1000000,0),0)</f>
        <v>0</v>
      </c>
    </row>
    <row r="928" customFormat="false" ht="15" hidden="false" customHeight="false" outlineLevel="0" collapsed="false">
      <c r="A928" s="75"/>
      <c r="B928" s="76"/>
      <c r="C928" s="77"/>
      <c r="D928" s="77"/>
      <c r="E928" s="78"/>
      <c r="F928" s="77"/>
      <c r="G928" s="77"/>
      <c r="H928" s="79" t="n">
        <f aca="false">N(H927)+IFERROR(IF(AND($A928&lt;&gt;"",$E928&lt;&gt;"",$A928&gt;=IF(Search!$E$4="",0,Search!$E$4),$A928&lt;=IF(Search!$E$5="",99999,Search!$E$5),OR(Search!$E$6="",ISNUMBER(SEARCH(Search!$E$6,$C928))),OR(Search!$E$7="All",Search!$E$7="",$D928=Search!$E$7),OR(Search!$E$8="",Search!$E$9="",AND($B928&lt;&gt;"",MOD($B928,1)&gt;=Search!$E$8,MOD($B928,1)&lt;=Search!$E$9))),1,0),0)</f>
        <v>0</v>
      </c>
      <c r="I928" s="79" t="n">
        <f aca="false">IF(H928&gt;N(H927),$E928,0)</f>
        <v>0</v>
      </c>
      <c r="J928" s="79" t="n">
        <f aca="false">IFERROR(IF(AND($A928&lt;&gt;"",$E928&lt;&gt;"",$A928&gt;=PeriodStart,$A928&lt;=PeriodEnd),$E928+ROW()/1000000,0),0)</f>
        <v>0</v>
      </c>
    </row>
    <row r="929" customFormat="false" ht="15" hidden="false" customHeight="false" outlineLevel="0" collapsed="false">
      <c r="A929" s="75"/>
      <c r="B929" s="76"/>
      <c r="C929" s="77"/>
      <c r="D929" s="77"/>
      <c r="E929" s="78"/>
      <c r="F929" s="77"/>
      <c r="G929" s="77"/>
      <c r="H929" s="79" t="n">
        <f aca="false">N(H928)+IFERROR(IF(AND($A929&lt;&gt;"",$E929&lt;&gt;"",$A929&gt;=IF(Search!$E$4="",0,Search!$E$4),$A929&lt;=IF(Search!$E$5="",99999,Search!$E$5),OR(Search!$E$6="",ISNUMBER(SEARCH(Search!$E$6,$C929))),OR(Search!$E$7="All",Search!$E$7="",$D929=Search!$E$7),OR(Search!$E$8="",Search!$E$9="",AND($B929&lt;&gt;"",MOD($B929,1)&gt;=Search!$E$8,MOD($B929,1)&lt;=Search!$E$9))),1,0),0)</f>
        <v>0</v>
      </c>
      <c r="I929" s="79" t="n">
        <f aca="false">IF(H929&gt;N(H928),$E929,0)</f>
        <v>0</v>
      </c>
      <c r="J929" s="79" t="n">
        <f aca="false">IFERROR(IF(AND($A929&lt;&gt;"",$E929&lt;&gt;"",$A929&gt;=PeriodStart,$A929&lt;=PeriodEnd),$E929+ROW()/1000000,0),0)</f>
        <v>0</v>
      </c>
    </row>
    <row r="930" customFormat="false" ht="15" hidden="false" customHeight="false" outlineLevel="0" collapsed="false">
      <c r="A930" s="75"/>
      <c r="B930" s="76"/>
      <c r="C930" s="77"/>
      <c r="D930" s="77"/>
      <c r="E930" s="78"/>
      <c r="F930" s="77"/>
      <c r="G930" s="77"/>
      <c r="H930" s="79" t="n">
        <f aca="false">N(H929)+IFERROR(IF(AND($A930&lt;&gt;"",$E930&lt;&gt;"",$A930&gt;=IF(Search!$E$4="",0,Search!$E$4),$A930&lt;=IF(Search!$E$5="",99999,Search!$E$5),OR(Search!$E$6="",ISNUMBER(SEARCH(Search!$E$6,$C930))),OR(Search!$E$7="All",Search!$E$7="",$D930=Search!$E$7),OR(Search!$E$8="",Search!$E$9="",AND($B930&lt;&gt;"",MOD($B930,1)&gt;=Search!$E$8,MOD($B930,1)&lt;=Search!$E$9))),1,0),0)</f>
        <v>0</v>
      </c>
      <c r="I930" s="79" t="n">
        <f aca="false">IF(H930&gt;N(H929),$E930,0)</f>
        <v>0</v>
      </c>
      <c r="J930" s="79" t="n">
        <f aca="false">IFERROR(IF(AND($A930&lt;&gt;"",$E930&lt;&gt;"",$A930&gt;=PeriodStart,$A930&lt;=PeriodEnd),$E930+ROW()/1000000,0),0)</f>
        <v>0</v>
      </c>
    </row>
    <row r="931" customFormat="false" ht="15" hidden="false" customHeight="false" outlineLevel="0" collapsed="false">
      <c r="A931" s="75"/>
      <c r="B931" s="76"/>
      <c r="C931" s="77"/>
      <c r="D931" s="77"/>
      <c r="E931" s="78"/>
      <c r="F931" s="77"/>
      <c r="G931" s="77"/>
      <c r="H931" s="79" t="n">
        <f aca="false">N(H930)+IFERROR(IF(AND($A931&lt;&gt;"",$E931&lt;&gt;"",$A931&gt;=IF(Search!$E$4="",0,Search!$E$4),$A931&lt;=IF(Search!$E$5="",99999,Search!$E$5),OR(Search!$E$6="",ISNUMBER(SEARCH(Search!$E$6,$C931))),OR(Search!$E$7="All",Search!$E$7="",$D931=Search!$E$7),OR(Search!$E$8="",Search!$E$9="",AND($B931&lt;&gt;"",MOD($B931,1)&gt;=Search!$E$8,MOD($B931,1)&lt;=Search!$E$9))),1,0),0)</f>
        <v>0</v>
      </c>
      <c r="I931" s="79" t="n">
        <f aca="false">IF(H931&gt;N(H930),$E931,0)</f>
        <v>0</v>
      </c>
      <c r="J931" s="79" t="n">
        <f aca="false">IFERROR(IF(AND($A931&lt;&gt;"",$E931&lt;&gt;"",$A931&gt;=PeriodStart,$A931&lt;=PeriodEnd),$E931+ROW()/1000000,0),0)</f>
        <v>0</v>
      </c>
    </row>
    <row r="932" customFormat="false" ht="15" hidden="false" customHeight="false" outlineLevel="0" collapsed="false">
      <c r="A932" s="75"/>
      <c r="B932" s="76"/>
      <c r="C932" s="77"/>
      <c r="D932" s="77"/>
      <c r="E932" s="78"/>
      <c r="F932" s="77"/>
      <c r="G932" s="77"/>
      <c r="H932" s="79" t="n">
        <f aca="false">N(H931)+IFERROR(IF(AND($A932&lt;&gt;"",$E932&lt;&gt;"",$A932&gt;=IF(Search!$E$4="",0,Search!$E$4),$A932&lt;=IF(Search!$E$5="",99999,Search!$E$5),OR(Search!$E$6="",ISNUMBER(SEARCH(Search!$E$6,$C932))),OR(Search!$E$7="All",Search!$E$7="",$D932=Search!$E$7),OR(Search!$E$8="",Search!$E$9="",AND($B932&lt;&gt;"",MOD($B932,1)&gt;=Search!$E$8,MOD($B932,1)&lt;=Search!$E$9))),1,0),0)</f>
        <v>0</v>
      </c>
      <c r="I932" s="79" t="n">
        <f aca="false">IF(H932&gt;N(H931),$E932,0)</f>
        <v>0</v>
      </c>
      <c r="J932" s="79" t="n">
        <f aca="false">IFERROR(IF(AND($A932&lt;&gt;"",$E932&lt;&gt;"",$A932&gt;=PeriodStart,$A932&lt;=PeriodEnd),$E932+ROW()/1000000,0),0)</f>
        <v>0</v>
      </c>
    </row>
    <row r="933" customFormat="false" ht="15" hidden="false" customHeight="false" outlineLevel="0" collapsed="false">
      <c r="A933" s="75"/>
      <c r="B933" s="76"/>
      <c r="C933" s="77"/>
      <c r="D933" s="77"/>
      <c r="E933" s="78"/>
      <c r="F933" s="77"/>
      <c r="G933" s="77"/>
      <c r="H933" s="79" t="n">
        <f aca="false">N(H932)+IFERROR(IF(AND($A933&lt;&gt;"",$E933&lt;&gt;"",$A933&gt;=IF(Search!$E$4="",0,Search!$E$4),$A933&lt;=IF(Search!$E$5="",99999,Search!$E$5),OR(Search!$E$6="",ISNUMBER(SEARCH(Search!$E$6,$C933))),OR(Search!$E$7="All",Search!$E$7="",$D933=Search!$E$7),OR(Search!$E$8="",Search!$E$9="",AND($B933&lt;&gt;"",MOD($B933,1)&gt;=Search!$E$8,MOD($B933,1)&lt;=Search!$E$9))),1,0),0)</f>
        <v>0</v>
      </c>
      <c r="I933" s="79" t="n">
        <f aca="false">IF(H933&gt;N(H932),$E933,0)</f>
        <v>0</v>
      </c>
      <c r="J933" s="79" t="n">
        <f aca="false">IFERROR(IF(AND($A933&lt;&gt;"",$E933&lt;&gt;"",$A933&gt;=PeriodStart,$A933&lt;=PeriodEnd),$E933+ROW()/1000000,0),0)</f>
        <v>0</v>
      </c>
    </row>
    <row r="934" customFormat="false" ht="15" hidden="false" customHeight="false" outlineLevel="0" collapsed="false">
      <c r="A934" s="75"/>
      <c r="B934" s="76"/>
      <c r="C934" s="77"/>
      <c r="D934" s="77"/>
      <c r="E934" s="78"/>
      <c r="F934" s="77"/>
      <c r="G934" s="77"/>
      <c r="H934" s="79" t="n">
        <f aca="false">N(H933)+IFERROR(IF(AND($A934&lt;&gt;"",$E934&lt;&gt;"",$A934&gt;=IF(Search!$E$4="",0,Search!$E$4),$A934&lt;=IF(Search!$E$5="",99999,Search!$E$5),OR(Search!$E$6="",ISNUMBER(SEARCH(Search!$E$6,$C934))),OR(Search!$E$7="All",Search!$E$7="",$D934=Search!$E$7),OR(Search!$E$8="",Search!$E$9="",AND($B934&lt;&gt;"",MOD($B934,1)&gt;=Search!$E$8,MOD($B934,1)&lt;=Search!$E$9))),1,0),0)</f>
        <v>0</v>
      </c>
      <c r="I934" s="79" t="n">
        <f aca="false">IF(H934&gt;N(H933),$E934,0)</f>
        <v>0</v>
      </c>
      <c r="J934" s="79" t="n">
        <f aca="false">IFERROR(IF(AND($A934&lt;&gt;"",$E934&lt;&gt;"",$A934&gt;=PeriodStart,$A934&lt;=PeriodEnd),$E934+ROW()/1000000,0),0)</f>
        <v>0</v>
      </c>
    </row>
    <row r="935" customFormat="false" ht="15" hidden="false" customHeight="false" outlineLevel="0" collapsed="false">
      <c r="A935" s="75"/>
      <c r="B935" s="76"/>
      <c r="C935" s="77"/>
      <c r="D935" s="77"/>
      <c r="E935" s="78"/>
      <c r="F935" s="77"/>
      <c r="G935" s="77"/>
      <c r="H935" s="79" t="n">
        <f aca="false">N(H934)+IFERROR(IF(AND($A935&lt;&gt;"",$E935&lt;&gt;"",$A935&gt;=IF(Search!$E$4="",0,Search!$E$4),$A935&lt;=IF(Search!$E$5="",99999,Search!$E$5),OR(Search!$E$6="",ISNUMBER(SEARCH(Search!$E$6,$C935))),OR(Search!$E$7="All",Search!$E$7="",$D935=Search!$E$7),OR(Search!$E$8="",Search!$E$9="",AND($B935&lt;&gt;"",MOD($B935,1)&gt;=Search!$E$8,MOD($B935,1)&lt;=Search!$E$9))),1,0),0)</f>
        <v>0</v>
      </c>
      <c r="I935" s="79" t="n">
        <f aca="false">IF(H935&gt;N(H934),$E935,0)</f>
        <v>0</v>
      </c>
      <c r="J935" s="79" t="n">
        <f aca="false">IFERROR(IF(AND($A935&lt;&gt;"",$E935&lt;&gt;"",$A935&gt;=PeriodStart,$A935&lt;=PeriodEnd),$E935+ROW()/1000000,0),0)</f>
        <v>0</v>
      </c>
    </row>
    <row r="936" customFormat="false" ht="15" hidden="false" customHeight="false" outlineLevel="0" collapsed="false">
      <c r="A936" s="75"/>
      <c r="B936" s="76"/>
      <c r="C936" s="77"/>
      <c r="D936" s="77"/>
      <c r="E936" s="78"/>
      <c r="F936" s="77"/>
      <c r="G936" s="77"/>
      <c r="H936" s="79" t="n">
        <f aca="false">N(H935)+IFERROR(IF(AND($A936&lt;&gt;"",$E936&lt;&gt;"",$A936&gt;=IF(Search!$E$4="",0,Search!$E$4),$A936&lt;=IF(Search!$E$5="",99999,Search!$E$5),OR(Search!$E$6="",ISNUMBER(SEARCH(Search!$E$6,$C936))),OR(Search!$E$7="All",Search!$E$7="",$D936=Search!$E$7),OR(Search!$E$8="",Search!$E$9="",AND($B936&lt;&gt;"",MOD($B936,1)&gt;=Search!$E$8,MOD($B936,1)&lt;=Search!$E$9))),1,0),0)</f>
        <v>0</v>
      </c>
      <c r="I936" s="79" t="n">
        <f aca="false">IF(H936&gt;N(H935),$E936,0)</f>
        <v>0</v>
      </c>
      <c r="J936" s="79" t="n">
        <f aca="false">IFERROR(IF(AND($A936&lt;&gt;"",$E936&lt;&gt;"",$A936&gt;=PeriodStart,$A936&lt;=PeriodEnd),$E936+ROW()/1000000,0),0)</f>
        <v>0</v>
      </c>
    </row>
    <row r="937" customFormat="false" ht="15" hidden="false" customHeight="false" outlineLevel="0" collapsed="false">
      <c r="A937" s="75"/>
      <c r="B937" s="76"/>
      <c r="C937" s="77"/>
      <c r="D937" s="77"/>
      <c r="E937" s="78"/>
      <c r="F937" s="77"/>
      <c r="G937" s="77"/>
      <c r="H937" s="79" t="n">
        <f aca="false">N(H936)+IFERROR(IF(AND($A937&lt;&gt;"",$E937&lt;&gt;"",$A937&gt;=IF(Search!$E$4="",0,Search!$E$4),$A937&lt;=IF(Search!$E$5="",99999,Search!$E$5),OR(Search!$E$6="",ISNUMBER(SEARCH(Search!$E$6,$C937))),OR(Search!$E$7="All",Search!$E$7="",$D937=Search!$E$7),OR(Search!$E$8="",Search!$E$9="",AND($B937&lt;&gt;"",MOD($B937,1)&gt;=Search!$E$8,MOD($B937,1)&lt;=Search!$E$9))),1,0),0)</f>
        <v>0</v>
      </c>
      <c r="I937" s="79" t="n">
        <f aca="false">IF(H937&gt;N(H936),$E937,0)</f>
        <v>0</v>
      </c>
      <c r="J937" s="79" t="n">
        <f aca="false">IFERROR(IF(AND($A937&lt;&gt;"",$E937&lt;&gt;"",$A937&gt;=PeriodStart,$A937&lt;=PeriodEnd),$E937+ROW()/1000000,0),0)</f>
        <v>0</v>
      </c>
    </row>
    <row r="938" customFormat="false" ht="15" hidden="false" customHeight="false" outlineLevel="0" collapsed="false">
      <c r="A938" s="75"/>
      <c r="B938" s="76"/>
      <c r="C938" s="77"/>
      <c r="D938" s="77"/>
      <c r="E938" s="78"/>
      <c r="F938" s="77"/>
      <c r="G938" s="77"/>
      <c r="H938" s="79" t="n">
        <f aca="false">N(H937)+IFERROR(IF(AND($A938&lt;&gt;"",$E938&lt;&gt;"",$A938&gt;=IF(Search!$E$4="",0,Search!$E$4),$A938&lt;=IF(Search!$E$5="",99999,Search!$E$5),OR(Search!$E$6="",ISNUMBER(SEARCH(Search!$E$6,$C938))),OR(Search!$E$7="All",Search!$E$7="",$D938=Search!$E$7),OR(Search!$E$8="",Search!$E$9="",AND($B938&lt;&gt;"",MOD($B938,1)&gt;=Search!$E$8,MOD($B938,1)&lt;=Search!$E$9))),1,0),0)</f>
        <v>0</v>
      </c>
      <c r="I938" s="79" t="n">
        <f aca="false">IF(H938&gt;N(H937),$E938,0)</f>
        <v>0</v>
      </c>
      <c r="J938" s="79" t="n">
        <f aca="false">IFERROR(IF(AND($A938&lt;&gt;"",$E938&lt;&gt;"",$A938&gt;=PeriodStart,$A938&lt;=PeriodEnd),$E938+ROW()/1000000,0),0)</f>
        <v>0</v>
      </c>
    </row>
    <row r="939" customFormat="false" ht="15" hidden="false" customHeight="false" outlineLevel="0" collapsed="false">
      <c r="A939" s="75"/>
      <c r="B939" s="76"/>
      <c r="C939" s="77"/>
      <c r="D939" s="77"/>
      <c r="E939" s="78"/>
      <c r="F939" s="77"/>
      <c r="G939" s="77"/>
      <c r="H939" s="79" t="n">
        <f aca="false">N(H938)+IFERROR(IF(AND($A939&lt;&gt;"",$E939&lt;&gt;"",$A939&gt;=IF(Search!$E$4="",0,Search!$E$4),$A939&lt;=IF(Search!$E$5="",99999,Search!$E$5),OR(Search!$E$6="",ISNUMBER(SEARCH(Search!$E$6,$C939))),OR(Search!$E$7="All",Search!$E$7="",$D939=Search!$E$7),OR(Search!$E$8="",Search!$E$9="",AND($B939&lt;&gt;"",MOD($B939,1)&gt;=Search!$E$8,MOD($B939,1)&lt;=Search!$E$9))),1,0),0)</f>
        <v>0</v>
      </c>
      <c r="I939" s="79" t="n">
        <f aca="false">IF(H939&gt;N(H938),$E939,0)</f>
        <v>0</v>
      </c>
      <c r="J939" s="79" t="n">
        <f aca="false">IFERROR(IF(AND($A939&lt;&gt;"",$E939&lt;&gt;"",$A939&gt;=PeriodStart,$A939&lt;=PeriodEnd),$E939+ROW()/1000000,0),0)</f>
        <v>0</v>
      </c>
    </row>
    <row r="940" customFormat="false" ht="15" hidden="false" customHeight="false" outlineLevel="0" collapsed="false">
      <c r="A940" s="75"/>
      <c r="B940" s="76"/>
      <c r="C940" s="77"/>
      <c r="D940" s="77"/>
      <c r="E940" s="78"/>
      <c r="F940" s="77"/>
      <c r="G940" s="77"/>
      <c r="H940" s="79" t="n">
        <f aca="false">N(H939)+IFERROR(IF(AND($A940&lt;&gt;"",$E940&lt;&gt;"",$A940&gt;=IF(Search!$E$4="",0,Search!$E$4),$A940&lt;=IF(Search!$E$5="",99999,Search!$E$5),OR(Search!$E$6="",ISNUMBER(SEARCH(Search!$E$6,$C940))),OR(Search!$E$7="All",Search!$E$7="",$D940=Search!$E$7),OR(Search!$E$8="",Search!$E$9="",AND($B940&lt;&gt;"",MOD($B940,1)&gt;=Search!$E$8,MOD($B940,1)&lt;=Search!$E$9))),1,0),0)</f>
        <v>0</v>
      </c>
      <c r="I940" s="79" t="n">
        <f aca="false">IF(H940&gt;N(H939),$E940,0)</f>
        <v>0</v>
      </c>
      <c r="J940" s="79" t="n">
        <f aca="false">IFERROR(IF(AND($A940&lt;&gt;"",$E940&lt;&gt;"",$A940&gt;=PeriodStart,$A940&lt;=PeriodEnd),$E940+ROW()/1000000,0),0)</f>
        <v>0</v>
      </c>
    </row>
    <row r="941" customFormat="false" ht="15" hidden="false" customHeight="false" outlineLevel="0" collapsed="false">
      <c r="A941" s="75"/>
      <c r="B941" s="76"/>
      <c r="C941" s="77"/>
      <c r="D941" s="77"/>
      <c r="E941" s="78"/>
      <c r="F941" s="77"/>
      <c r="G941" s="77"/>
      <c r="H941" s="79" t="n">
        <f aca="false">N(H940)+IFERROR(IF(AND($A941&lt;&gt;"",$E941&lt;&gt;"",$A941&gt;=IF(Search!$E$4="",0,Search!$E$4),$A941&lt;=IF(Search!$E$5="",99999,Search!$E$5),OR(Search!$E$6="",ISNUMBER(SEARCH(Search!$E$6,$C941))),OR(Search!$E$7="All",Search!$E$7="",$D941=Search!$E$7),OR(Search!$E$8="",Search!$E$9="",AND($B941&lt;&gt;"",MOD($B941,1)&gt;=Search!$E$8,MOD($B941,1)&lt;=Search!$E$9))),1,0),0)</f>
        <v>0</v>
      </c>
      <c r="I941" s="79" t="n">
        <f aca="false">IF(H941&gt;N(H940),$E941,0)</f>
        <v>0</v>
      </c>
      <c r="J941" s="79" t="n">
        <f aca="false">IFERROR(IF(AND($A941&lt;&gt;"",$E941&lt;&gt;"",$A941&gt;=PeriodStart,$A941&lt;=PeriodEnd),$E941+ROW()/1000000,0),0)</f>
        <v>0</v>
      </c>
    </row>
    <row r="942" customFormat="false" ht="15" hidden="false" customHeight="false" outlineLevel="0" collapsed="false">
      <c r="A942" s="75"/>
      <c r="B942" s="76"/>
      <c r="C942" s="77"/>
      <c r="D942" s="77"/>
      <c r="E942" s="78"/>
      <c r="F942" s="77"/>
      <c r="G942" s="77"/>
      <c r="H942" s="79" t="n">
        <f aca="false">N(H941)+IFERROR(IF(AND($A942&lt;&gt;"",$E942&lt;&gt;"",$A942&gt;=IF(Search!$E$4="",0,Search!$E$4),$A942&lt;=IF(Search!$E$5="",99999,Search!$E$5),OR(Search!$E$6="",ISNUMBER(SEARCH(Search!$E$6,$C942))),OR(Search!$E$7="All",Search!$E$7="",$D942=Search!$E$7),OR(Search!$E$8="",Search!$E$9="",AND($B942&lt;&gt;"",MOD($B942,1)&gt;=Search!$E$8,MOD($B942,1)&lt;=Search!$E$9))),1,0),0)</f>
        <v>0</v>
      </c>
      <c r="I942" s="79" t="n">
        <f aca="false">IF(H942&gt;N(H941),$E942,0)</f>
        <v>0</v>
      </c>
      <c r="J942" s="79" t="n">
        <f aca="false">IFERROR(IF(AND($A942&lt;&gt;"",$E942&lt;&gt;"",$A942&gt;=PeriodStart,$A942&lt;=PeriodEnd),$E942+ROW()/1000000,0),0)</f>
        <v>0</v>
      </c>
    </row>
    <row r="943" customFormat="false" ht="15" hidden="false" customHeight="false" outlineLevel="0" collapsed="false">
      <c r="A943" s="75"/>
      <c r="B943" s="76"/>
      <c r="C943" s="77"/>
      <c r="D943" s="77"/>
      <c r="E943" s="78"/>
      <c r="F943" s="77"/>
      <c r="G943" s="77"/>
      <c r="H943" s="79" t="n">
        <f aca="false">N(H942)+IFERROR(IF(AND($A943&lt;&gt;"",$E943&lt;&gt;"",$A943&gt;=IF(Search!$E$4="",0,Search!$E$4),$A943&lt;=IF(Search!$E$5="",99999,Search!$E$5),OR(Search!$E$6="",ISNUMBER(SEARCH(Search!$E$6,$C943))),OR(Search!$E$7="All",Search!$E$7="",$D943=Search!$E$7),OR(Search!$E$8="",Search!$E$9="",AND($B943&lt;&gt;"",MOD($B943,1)&gt;=Search!$E$8,MOD($B943,1)&lt;=Search!$E$9))),1,0),0)</f>
        <v>0</v>
      </c>
      <c r="I943" s="79" t="n">
        <f aca="false">IF(H943&gt;N(H942),$E943,0)</f>
        <v>0</v>
      </c>
      <c r="J943" s="79" t="n">
        <f aca="false">IFERROR(IF(AND($A943&lt;&gt;"",$E943&lt;&gt;"",$A943&gt;=PeriodStart,$A943&lt;=PeriodEnd),$E943+ROW()/1000000,0),0)</f>
        <v>0</v>
      </c>
    </row>
    <row r="944" customFormat="false" ht="15" hidden="false" customHeight="false" outlineLevel="0" collapsed="false">
      <c r="A944" s="75"/>
      <c r="B944" s="76"/>
      <c r="C944" s="77"/>
      <c r="D944" s="77"/>
      <c r="E944" s="78"/>
      <c r="F944" s="77"/>
      <c r="G944" s="77"/>
      <c r="H944" s="79" t="n">
        <f aca="false">N(H943)+IFERROR(IF(AND($A944&lt;&gt;"",$E944&lt;&gt;"",$A944&gt;=IF(Search!$E$4="",0,Search!$E$4),$A944&lt;=IF(Search!$E$5="",99999,Search!$E$5),OR(Search!$E$6="",ISNUMBER(SEARCH(Search!$E$6,$C944))),OR(Search!$E$7="All",Search!$E$7="",$D944=Search!$E$7),OR(Search!$E$8="",Search!$E$9="",AND($B944&lt;&gt;"",MOD($B944,1)&gt;=Search!$E$8,MOD($B944,1)&lt;=Search!$E$9))),1,0),0)</f>
        <v>0</v>
      </c>
      <c r="I944" s="79" t="n">
        <f aca="false">IF(H944&gt;N(H943),$E944,0)</f>
        <v>0</v>
      </c>
      <c r="J944" s="79" t="n">
        <f aca="false">IFERROR(IF(AND($A944&lt;&gt;"",$E944&lt;&gt;"",$A944&gt;=PeriodStart,$A944&lt;=PeriodEnd),$E944+ROW()/1000000,0),0)</f>
        <v>0</v>
      </c>
    </row>
    <row r="945" customFormat="false" ht="15" hidden="false" customHeight="false" outlineLevel="0" collapsed="false">
      <c r="A945" s="75"/>
      <c r="B945" s="76"/>
      <c r="C945" s="77"/>
      <c r="D945" s="77"/>
      <c r="E945" s="78"/>
      <c r="F945" s="77"/>
      <c r="G945" s="77"/>
      <c r="H945" s="79" t="n">
        <f aca="false">N(H944)+IFERROR(IF(AND($A945&lt;&gt;"",$E945&lt;&gt;"",$A945&gt;=IF(Search!$E$4="",0,Search!$E$4),$A945&lt;=IF(Search!$E$5="",99999,Search!$E$5),OR(Search!$E$6="",ISNUMBER(SEARCH(Search!$E$6,$C945))),OR(Search!$E$7="All",Search!$E$7="",$D945=Search!$E$7),OR(Search!$E$8="",Search!$E$9="",AND($B945&lt;&gt;"",MOD($B945,1)&gt;=Search!$E$8,MOD($B945,1)&lt;=Search!$E$9))),1,0),0)</f>
        <v>0</v>
      </c>
      <c r="I945" s="79" t="n">
        <f aca="false">IF(H945&gt;N(H944),$E945,0)</f>
        <v>0</v>
      </c>
      <c r="J945" s="79" t="n">
        <f aca="false">IFERROR(IF(AND($A945&lt;&gt;"",$E945&lt;&gt;"",$A945&gt;=PeriodStart,$A945&lt;=PeriodEnd),$E945+ROW()/1000000,0),0)</f>
        <v>0</v>
      </c>
    </row>
    <row r="946" customFormat="false" ht="15" hidden="false" customHeight="false" outlineLevel="0" collapsed="false">
      <c r="A946" s="75"/>
      <c r="B946" s="76"/>
      <c r="C946" s="77"/>
      <c r="D946" s="77"/>
      <c r="E946" s="78"/>
      <c r="F946" s="77"/>
      <c r="G946" s="77"/>
      <c r="H946" s="79" t="n">
        <f aca="false">N(H945)+IFERROR(IF(AND($A946&lt;&gt;"",$E946&lt;&gt;"",$A946&gt;=IF(Search!$E$4="",0,Search!$E$4),$A946&lt;=IF(Search!$E$5="",99999,Search!$E$5),OR(Search!$E$6="",ISNUMBER(SEARCH(Search!$E$6,$C946))),OR(Search!$E$7="All",Search!$E$7="",$D946=Search!$E$7),OR(Search!$E$8="",Search!$E$9="",AND($B946&lt;&gt;"",MOD($B946,1)&gt;=Search!$E$8,MOD($B946,1)&lt;=Search!$E$9))),1,0),0)</f>
        <v>0</v>
      </c>
      <c r="I946" s="79" t="n">
        <f aca="false">IF(H946&gt;N(H945),$E946,0)</f>
        <v>0</v>
      </c>
      <c r="J946" s="79" t="n">
        <f aca="false">IFERROR(IF(AND($A946&lt;&gt;"",$E946&lt;&gt;"",$A946&gt;=PeriodStart,$A946&lt;=PeriodEnd),$E946+ROW()/1000000,0),0)</f>
        <v>0</v>
      </c>
    </row>
    <row r="947" customFormat="false" ht="15" hidden="false" customHeight="false" outlineLevel="0" collapsed="false">
      <c r="A947" s="75"/>
      <c r="B947" s="76"/>
      <c r="C947" s="77"/>
      <c r="D947" s="77"/>
      <c r="E947" s="78"/>
      <c r="F947" s="77"/>
      <c r="G947" s="77"/>
      <c r="H947" s="79" t="n">
        <f aca="false">N(H946)+IFERROR(IF(AND($A947&lt;&gt;"",$E947&lt;&gt;"",$A947&gt;=IF(Search!$E$4="",0,Search!$E$4),$A947&lt;=IF(Search!$E$5="",99999,Search!$E$5),OR(Search!$E$6="",ISNUMBER(SEARCH(Search!$E$6,$C947))),OR(Search!$E$7="All",Search!$E$7="",$D947=Search!$E$7),OR(Search!$E$8="",Search!$E$9="",AND($B947&lt;&gt;"",MOD($B947,1)&gt;=Search!$E$8,MOD($B947,1)&lt;=Search!$E$9))),1,0),0)</f>
        <v>0</v>
      </c>
      <c r="I947" s="79" t="n">
        <f aca="false">IF(H947&gt;N(H946),$E947,0)</f>
        <v>0</v>
      </c>
      <c r="J947" s="79" t="n">
        <f aca="false">IFERROR(IF(AND($A947&lt;&gt;"",$E947&lt;&gt;"",$A947&gt;=PeriodStart,$A947&lt;=PeriodEnd),$E947+ROW()/1000000,0),0)</f>
        <v>0</v>
      </c>
    </row>
    <row r="948" customFormat="false" ht="15" hidden="false" customHeight="false" outlineLevel="0" collapsed="false">
      <c r="A948" s="75"/>
      <c r="B948" s="76"/>
      <c r="C948" s="77"/>
      <c r="D948" s="77"/>
      <c r="E948" s="78"/>
      <c r="F948" s="77"/>
      <c r="G948" s="77"/>
      <c r="H948" s="79" t="n">
        <f aca="false">N(H947)+IFERROR(IF(AND($A948&lt;&gt;"",$E948&lt;&gt;"",$A948&gt;=IF(Search!$E$4="",0,Search!$E$4),$A948&lt;=IF(Search!$E$5="",99999,Search!$E$5),OR(Search!$E$6="",ISNUMBER(SEARCH(Search!$E$6,$C948))),OR(Search!$E$7="All",Search!$E$7="",$D948=Search!$E$7),OR(Search!$E$8="",Search!$E$9="",AND($B948&lt;&gt;"",MOD($B948,1)&gt;=Search!$E$8,MOD($B948,1)&lt;=Search!$E$9))),1,0),0)</f>
        <v>0</v>
      </c>
      <c r="I948" s="79" t="n">
        <f aca="false">IF(H948&gt;N(H947),$E948,0)</f>
        <v>0</v>
      </c>
      <c r="J948" s="79" t="n">
        <f aca="false">IFERROR(IF(AND($A948&lt;&gt;"",$E948&lt;&gt;"",$A948&gt;=PeriodStart,$A948&lt;=PeriodEnd),$E948+ROW()/1000000,0),0)</f>
        <v>0</v>
      </c>
    </row>
    <row r="949" customFormat="false" ht="15" hidden="false" customHeight="false" outlineLevel="0" collapsed="false">
      <c r="A949" s="75"/>
      <c r="B949" s="76"/>
      <c r="C949" s="77"/>
      <c r="D949" s="77"/>
      <c r="E949" s="78"/>
      <c r="F949" s="77"/>
      <c r="G949" s="77"/>
      <c r="H949" s="79" t="n">
        <f aca="false">N(H948)+IFERROR(IF(AND($A949&lt;&gt;"",$E949&lt;&gt;"",$A949&gt;=IF(Search!$E$4="",0,Search!$E$4),$A949&lt;=IF(Search!$E$5="",99999,Search!$E$5),OR(Search!$E$6="",ISNUMBER(SEARCH(Search!$E$6,$C949))),OR(Search!$E$7="All",Search!$E$7="",$D949=Search!$E$7),OR(Search!$E$8="",Search!$E$9="",AND($B949&lt;&gt;"",MOD($B949,1)&gt;=Search!$E$8,MOD($B949,1)&lt;=Search!$E$9))),1,0),0)</f>
        <v>0</v>
      </c>
      <c r="I949" s="79" t="n">
        <f aca="false">IF(H949&gt;N(H948),$E949,0)</f>
        <v>0</v>
      </c>
      <c r="J949" s="79" t="n">
        <f aca="false">IFERROR(IF(AND($A949&lt;&gt;"",$E949&lt;&gt;"",$A949&gt;=PeriodStart,$A949&lt;=PeriodEnd),$E949+ROW()/1000000,0),0)</f>
        <v>0</v>
      </c>
    </row>
    <row r="950" customFormat="false" ht="15" hidden="false" customHeight="false" outlineLevel="0" collapsed="false">
      <c r="A950" s="75"/>
      <c r="B950" s="76"/>
      <c r="C950" s="77"/>
      <c r="D950" s="77"/>
      <c r="E950" s="78"/>
      <c r="F950" s="77"/>
      <c r="G950" s="77"/>
      <c r="H950" s="79" t="n">
        <f aca="false">N(H949)+IFERROR(IF(AND($A950&lt;&gt;"",$E950&lt;&gt;"",$A950&gt;=IF(Search!$E$4="",0,Search!$E$4),$A950&lt;=IF(Search!$E$5="",99999,Search!$E$5),OR(Search!$E$6="",ISNUMBER(SEARCH(Search!$E$6,$C950))),OR(Search!$E$7="All",Search!$E$7="",$D950=Search!$E$7),OR(Search!$E$8="",Search!$E$9="",AND($B950&lt;&gt;"",MOD($B950,1)&gt;=Search!$E$8,MOD($B950,1)&lt;=Search!$E$9))),1,0),0)</f>
        <v>0</v>
      </c>
      <c r="I950" s="79" t="n">
        <f aca="false">IF(H950&gt;N(H949),$E950,0)</f>
        <v>0</v>
      </c>
      <c r="J950" s="79" t="n">
        <f aca="false">IFERROR(IF(AND($A950&lt;&gt;"",$E950&lt;&gt;"",$A950&gt;=PeriodStart,$A950&lt;=PeriodEnd),$E950+ROW()/1000000,0),0)</f>
        <v>0</v>
      </c>
    </row>
    <row r="951" customFormat="false" ht="15" hidden="false" customHeight="false" outlineLevel="0" collapsed="false">
      <c r="A951" s="75"/>
      <c r="B951" s="76"/>
      <c r="C951" s="77"/>
      <c r="D951" s="77"/>
      <c r="E951" s="78"/>
      <c r="F951" s="77"/>
      <c r="G951" s="77"/>
      <c r="H951" s="79" t="n">
        <f aca="false">N(H950)+IFERROR(IF(AND($A951&lt;&gt;"",$E951&lt;&gt;"",$A951&gt;=IF(Search!$E$4="",0,Search!$E$4),$A951&lt;=IF(Search!$E$5="",99999,Search!$E$5),OR(Search!$E$6="",ISNUMBER(SEARCH(Search!$E$6,$C951))),OR(Search!$E$7="All",Search!$E$7="",$D951=Search!$E$7),OR(Search!$E$8="",Search!$E$9="",AND($B951&lt;&gt;"",MOD($B951,1)&gt;=Search!$E$8,MOD($B951,1)&lt;=Search!$E$9))),1,0),0)</f>
        <v>0</v>
      </c>
      <c r="I951" s="79" t="n">
        <f aca="false">IF(H951&gt;N(H950),$E951,0)</f>
        <v>0</v>
      </c>
      <c r="J951" s="79" t="n">
        <f aca="false">IFERROR(IF(AND($A951&lt;&gt;"",$E951&lt;&gt;"",$A951&gt;=PeriodStart,$A951&lt;=PeriodEnd),$E951+ROW()/1000000,0),0)</f>
        <v>0</v>
      </c>
    </row>
    <row r="952" customFormat="false" ht="15" hidden="false" customHeight="false" outlineLevel="0" collapsed="false">
      <c r="A952" s="75"/>
      <c r="B952" s="76"/>
      <c r="C952" s="77"/>
      <c r="D952" s="77"/>
      <c r="E952" s="78"/>
      <c r="F952" s="77"/>
      <c r="G952" s="77"/>
      <c r="H952" s="79" t="n">
        <f aca="false">N(H951)+IFERROR(IF(AND($A952&lt;&gt;"",$E952&lt;&gt;"",$A952&gt;=IF(Search!$E$4="",0,Search!$E$4),$A952&lt;=IF(Search!$E$5="",99999,Search!$E$5),OR(Search!$E$6="",ISNUMBER(SEARCH(Search!$E$6,$C952))),OR(Search!$E$7="All",Search!$E$7="",$D952=Search!$E$7),OR(Search!$E$8="",Search!$E$9="",AND($B952&lt;&gt;"",MOD($B952,1)&gt;=Search!$E$8,MOD($B952,1)&lt;=Search!$E$9))),1,0),0)</f>
        <v>0</v>
      </c>
      <c r="I952" s="79" t="n">
        <f aca="false">IF(H952&gt;N(H951),$E952,0)</f>
        <v>0</v>
      </c>
      <c r="J952" s="79" t="n">
        <f aca="false">IFERROR(IF(AND($A952&lt;&gt;"",$E952&lt;&gt;"",$A952&gt;=PeriodStart,$A952&lt;=PeriodEnd),$E952+ROW()/1000000,0),0)</f>
        <v>0</v>
      </c>
    </row>
    <row r="953" customFormat="false" ht="15" hidden="false" customHeight="false" outlineLevel="0" collapsed="false">
      <c r="A953" s="75"/>
      <c r="B953" s="76"/>
      <c r="C953" s="77"/>
      <c r="D953" s="77"/>
      <c r="E953" s="78"/>
      <c r="F953" s="77"/>
      <c r="G953" s="77"/>
      <c r="H953" s="79" t="n">
        <f aca="false">N(H952)+IFERROR(IF(AND($A953&lt;&gt;"",$E953&lt;&gt;"",$A953&gt;=IF(Search!$E$4="",0,Search!$E$4),$A953&lt;=IF(Search!$E$5="",99999,Search!$E$5),OR(Search!$E$6="",ISNUMBER(SEARCH(Search!$E$6,$C953))),OR(Search!$E$7="All",Search!$E$7="",$D953=Search!$E$7),OR(Search!$E$8="",Search!$E$9="",AND($B953&lt;&gt;"",MOD($B953,1)&gt;=Search!$E$8,MOD($B953,1)&lt;=Search!$E$9))),1,0),0)</f>
        <v>0</v>
      </c>
      <c r="I953" s="79" t="n">
        <f aca="false">IF(H953&gt;N(H952),$E953,0)</f>
        <v>0</v>
      </c>
      <c r="J953" s="79" t="n">
        <f aca="false">IFERROR(IF(AND($A953&lt;&gt;"",$E953&lt;&gt;"",$A953&gt;=PeriodStart,$A953&lt;=PeriodEnd),$E953+ROW()/1000000,0),0)</f>
        <v>0</v>
      </c>
    </row>
    <row r="954" customFormat="false" ht="15" hidden="false" customHeight="false" outlineLevel="0" collapsed="false">
      <c r="A954" s="75"/>
      <c r="B954" s="76"/>
      <c r="C954" s="77"/>
      <c r="D954" s="77"/>
      <c r="E954" s="78"/>
      <c r="F954" s="77"/>
      <c r="G954" s="77"/>
      <c r="H954" s="79" t="n">
        <f aca="false">N(H953)+IFERROR(IF(AND($A954&lt;&gt;"",$E954&lt;&gt;"",$A954&gt;=IF(Search!$E$4="",0,Search!$E$4),$A954&lt;=IF(Search!$E$5="",99999,Search!$E$5),OR(Search!$E$6="",ISNUMBER(SEARCH(Search!$E$6,$C954))),OR(Search!$E$7="All",Search!$E$7="",$D954=Search!$E$7),OR(Search!$E$8="",Search!$E$9="",AND($B954&lt;&gt;"",MOD($B954,1)&gt;=Search!$E$8,MOD($B954,1)&lt;=Search!$E$9))),1,0),0)</f>
        <v>0</v>
      </c>
      <c r="I954" s="79" t="n">
        <f aca="false">IF(H954&gt;N(H953),$E954,0)</f>
        <v>0</v>
      </c>
      <c r="J954" s="79" t="n">
        <f aca="false">IFERROR(IF(AND($A954&lt;&gt;"",$E954&lt;&gt;"",$A954&gt;=PeriodStart,$A954&lt;=PeriodEnd),$E954+ROW()/1000000,0),0)</f>
        <v>0</v>
      </c>
    </row>
    <row r="955" customFormat="false" ht="15" hidden="false" customHeight="false" outlineLevel="0" collapsed="false">
      <c r="A955" s="75"/>
      <c r="B955" s="76"/>
      <c r="C955" s="77"/>
      <c r="D955" s="77"/>
      <c r="E955" s="78"/>
      <c r="F955" s="77"/>
      <c r="G955" s="77"/>
      <c r="H955" s="79" t="n">
        <f aca="false">N(H954)+IFERROR(IF(AND($A955&lt;&gt;"",$E955&lt;&gt;"",$A955&gt;=IF(Search!$E$4="",0,Search!$E$4),$A955&lt;=IF(Search!$E$5="",99999,Search!$E$5),OR(Search!$E$6="",ISNUMBER(SEARCH(Search!$E$6,$C955))),OR(Search!$E$7="All",Search!$E$7="",$D955=Search!$E$7),OR(Search!$E$8="",Search!$E$9="",AND($B955&lt;&gt;"",MOD($B955,1)&gt;=Search!$E$8,MOD($B955,1)&lt;=Search!$E$9))),1,0),0)</f>
        <v>0</v>
      </c>
      <c r="I955" s="79" t="n">
        <f aca="false">IF(H955&gt;N(H954),$E955,0)</f>
        <v>0</v>
      </c>
      <c r="J955" s="79" t="n">
        <f aca="false">IFERROR(IF(AND($A955&lt;&gt;"",$E955&lt;&gt;"",$A955&gt;=PeriodStart,$A955&lt;=PeriodEnd),$E955+ROW()/1000000,0),0)</f>
        <v>0</v>
      </c>
    </row>
    <row r="956" customFormat="false" ht="15" hidden="false" customHeight="false" outlineLevel="0" collapsed="false">
      <c r="A956" s="75"/>
      <c r="B956" s="76"/>
      <c r="C956" s="77"/>
      <c r="D956" s="77"/>
      <c r="E956" s="78"/>
      <c r="F956" s="77"/>
      <c r="G956" s="77"/>
      <c r="H956" s="79" t="n">
        <f aca="false">N(H955)+IFERROR(IF(AND($A956&lt;&gt;"",$E956&lt;&gt;"",$A956&gt;=IF(Search!$E$4="",0,Search!$E$4),$A956&lt;=IF(Search!$E$5="",99999,Search!$E$5),OR(Search!$E$6="",ISNUMBER(SEARCH(Search!$E$6,$C956))),OR(Search!$E$7="All",Search!$E$7="",$D956=Search!$E$7),OR(Search!$E$8="",Search!$E$9="",AND($B956&lt;&gt;"",MOD($B956,1)&gt;=Search!$E$8,MOD($B956,1)&lt;=Search!$E$9))),1,0),0)</f>
        <v>0</v>
      </c>
      <c r="I956" s="79" t="n">
        <f aca="false">IF(H956&gt;N(H955),$E956,0)</f>
        <v>0</v>
      </c>
      <c r="J956" s="79" t="n">
        <f aca="false">IFERROR(IF(AND($A956&lt;&gt;"",$E956&lt;&gt;"",$A956&gt;=PeriodStart,$A956&lt;=PeriodEnd),$E956+ROW()/1000000,0),0)</f>
        <v>0</v>
      </c>
    </row>
    <row r="957" customFormat="false" ht="15" hidden="false" customHeight="false" outlineLevel="0" collapsed="false">
      <c r="A957" s="75"/>
      <c r="B957" s="76"/>
      <c r="C957" s="77"/>
      <c r="D957" s="77"/>
      <c r="E957" s="78"/>
      <c r="F957" s="77"/>
      <c r="G957" s="77"/>
      <c r="H957" s="79" t="n">
        <f aca="false">N(H956)+IFERROR(IF(AND($A957&lt;&gt;"",$E957&lt;&gt;"",$A957&gt;=IF(Search!$E$4="",0,Search!$E$4),$A957&lt;=IF(Search!$E$5="",99999,Search!$E$5),OR(Search!$E$6="",ISNUMBER(SEARCH(Search!$E$6,$C957))),OR(Search!$E$7="All",Search!$E$7="",$D957=Search!$E$7),OR(Search!$E$8="",Search!$E$9="",AND($B957&lt;&gt;"",MOD($B957,1)&gt;=Search!$E$8,MOD($B957,1)&lt;=Search!$E$9))),1,0),0)</f>
        <v>0</v>
      </c>
      <c r="I957" s="79" t="n">
        <f aca="false">IF(H957&gt;N(H956),$E957,0)</f>
        <v>0</v>
      </c>
      <c r="J957" s="79" t="n">
        <f aca="false">IFERROR(IF(AND($A957&lt;&gt;"",$E957&lt;&gt;"",$A957&gt;=PeriodStart,$A957&lt;=PeriodEnd),$E957+ROW()/1000000,0),0)</f>
        <v>0</v>
      </c>
    </row>
    <row r="958" customFormat="false" ht="15" hidden="false" customHeight="false" outlineLevel="0" collapsed="false">
      <c r="A958" s="75"/>
      <c r="B958" s="76"/>
      <c r="C958" s="77"/>
      <c r="D958" s="77"/>
      <c r="E958" s="78"/>
      <c r="F958" s="77"/>
      <c r="G958" s="77"/>
      <c r="H958" s="79" t="n">
        <f aca="false">N(H957)+IFERROR(IF(AND($A958&lt;&gt;"",$E958&lt;&gt;"",$A958&gt;=IF(Search!$E$4="",0,Search!$E$4),$A958&lt;=IF(Search!$E$5="",99999,Search!$E$5),OR(Search!$E$6="",ISNUMBER(SEARCH(Search!$E$6,$C958))),OR(Search!$E$7="All",Search!$E$7="",$D958=Search!$E$7),OR(Search!$E$8="",Search!$E$9="",AND($B958&lt;&gt;"",MOD($B958,1)&gt;=Search!$E$8,MOD($B958,1)&lt;=Search!$E$9))),1,0),0)</f>
        <v>0</v>
      </c>
      <c r="I958" s="79" t="n">
        <f aca="false">IF(H958&gt;N(H957),$E958,0)</f>
        <v>0</v>
      </c>
      <c r="J958" s="79" t="n">
        <f aca="false">IFERROR(IF(AND($A958&lt;&gt;"",$E958&lt;&gt;"",$A958&gt;=PeriodStart,$A958&lt;=PeriodEnd),$E958+ROW()/1000000,0),0)</f>
        <v>0</v>
      </c>
    </row>
    <row r="959" customFormat="false" ht="15" hidden="false" customHeight="false" outlineLevel="0" collapsed="false">
      <c r="A959" s="75"/>
      <c r="B959" s="76"/>
      <c r="C959" s="77"/>
      <c r="D959" s="77"/>
      <c r="E959" s="78"/>
      <c r="F959" s="77"/>
      <c r="G959" s="77"/>
      <c r="H959" s="79" t="n">
        <f aca="false">N(H958)+IFERROR(IF(AND($A959&lt;&gt;"",$E959&lt;&gt;"",$A959&gt;=IF(Search!$E$4="",0,Search!$E$4),$A959&lt;=IF(Search!$E$5="",99999,Search!$E$5),OR(Search!$E$6="",ISNUMBER(SEARCH(Search!$E$6,$C959))),OR(Search!$E$7="All",Search!$E$7="",$D959=Search!$E$7),OR(Search!$E$8="",Search!$E$9="",AND($B959&lt;&gt;"",MOD($B959,1)&gt;=Search!$E$8,MOD($B959,1)&lt;=Search!$E$9))),1,0),0)</f>
        <v>0</v>
      </c>
      <c r="I959" s="79" t="n">
        <f aca="false">IF(H959&gt;N(H958),$E959,0)</f>
        <v>0</v>
      </c>
      <c r="J959" s="79" t="n">
        <f aca="false">IFERROR(IF(AND($A959&lt;&gt;"",$E959&lt;&gt;"",$A959&gt;=PeriodStart,$A959&lt;=PeriodEnd),$E959+ROW()/1000000,0),0)</f>
        <v>0</v>
      </c>
    </row>
    <row r="960" customFormat="false" ht="15" hidden="false" customHeight="false" outlineLevel="0" collapsed="false">
      <c r="A960" s="75"/>
      <c r="B960" s="76"/>
      <c r="C960" s="77"/>
      <c r="D960" s="77"/>
      <c r="E960" s="78"/>
      <c r="F960" s="77"/>
      <c r="G960" s="77"/>
      <c r="H960" s="79" t="n">
        <f aca="false">N(H959)+IFERROR(IF(AND($A960&lt;&gt;"",$E960&lt;&gt;"",$A960&gt;=IF(Search!$E$4="",0,Search!$E$4),$A960&lt;=IF(Search!$E$5="",99999,Search!$E$5),OR(Search!$E$6="",ISNUMBER(SEARCH(Search!$E$6,$C960))),OR(Search!$E$7="All",Search!$E$7="",$D960=Search!$E$7),OR(Search!$E$8="",Search!$E$9="",AND($B960&lt;&gt;"",MOD($B960,1)&gt;=Search!$E$8,MOD($B960,1)&lt;=Search!$E$9))),1,0),0)</f>
        <v>0</v>
      </c>
      <c r="I960" s="79" t="n">
        <f aca="false">IF(H960&gt;N(H959),$E960,0)</f>
        <v>0</v>
      </c>
      <c r="J960" s="79" t="n">
        <f aca="false">IFERROR(IF(AND($A960&lt;&gt;"",$E960&lt;&gt;"",$A960&gt;=PeriodStart,$A960&lt;=PeriodEnd),$E960+ROW()/1000000,0),0)</f>
        <v>0</v>
      </c>
    </row>
    <row r="961" customFormat="false" ht="15" hidden="false" customHeight="false" outlineLevel="0" collapsed="false">
      <c r="A961" s="75"/>
      <c r="B961" s="76"/>
      <c r="C961" s="77"/>
      <c r="D961" s="77"/>
      <c r="E961" s="78"/>
      <c r="F961" s="77"/>
      <c r="G961" s="77"/>
      <c r="H961" s="79" t="n">
        <f aca="false">N(H960)+IFERROR(IF(AND($A961&lt;&gt;"",$E961&lt;&gt;"",$A961&gt;=IF(Search!$E$4="",0,Search!$E$4),$A961&lt;=IF(Search!$E$5="",99999,Search!$E$5),OR(Search!$E$6="",ISNUMBER(SEARCH(Search!$E$6,$C961))),OR(Search!$E$7="All",Search!$E$7="",$D961=Search!$E$7),OR(Search!$E$8="",Search!$E$9="",AND($B961&lt;&gt;"",MOD($B961,1)&gt;=Search!$E$8,MOD($B961,1)&lt;=Search!$E$9))),1,0),0)</f>
        <v>0</v>
      </c>
      <c r="I961" s="79" t="n">
        <f aca="false">IF(H961&gt;N(H960),$E961,0)</f>
        <v>0</v>
      </c>
      <c r="J961" s="79" t="n">
        <f aca="false">IFERROR(IF(AND($A961&lt;&gt;"",$E961&lt;&gt;"",$A961&gt;=PeriodStart,$A961&lt;=PeriodEnd),$E961+ROW()/1000000,0),0)</f>
        <v>0</v>
      </c>
    </row>
    <row r="962" customFormat="false" ht="15" hidden="false" customHeight="false" outlineLevel="0" collapsed="false">
      <c r="A962" s="75"/>
      <c r="B962" s="76"/>
      <c r="C962" s="77"/>
      <c r="D962" s="77"/>
      <c r="E962" s="78"/>
      <c r="F962" s="77"/>
      <c r="G962" s="77"/>
      <c r="H962" s="79" t="n">
        <f aca="false">N(H961)+IFERROR(IF(AND($A962&lt;&gt;"",$E962&lt;&gt;"",$A962&gt;=IF(Search!$E$4="",0,Search!$E$4),$A962&lt;=IF(Search!$E$5="",99999,Search!$E$5),OR(Search!$E$6="",ISNUMBER(SEARCH(Search!$E$6,$C962))),OR(Search!$E$7="All",Search!$E$7="",$D962=Search!$E$7),OR(Search!$E$8="",Search!$E$9="",AND($B962&lt;&gt;"",MOD($B962,1)&gt;=Search!$E$8,MOD($B962,1)&lt;=Search!$E$9))),1,0),0)</f>
        <v>0</v>
      </c>
      <c r="I962" s="79" t="n">
        <f aca="false">IF(H962&gt;N(H961),$E962,0)</f>
        <v>0</v>
      </c>
      <c r="J962" s="79" t="n">
        <f aca="false">IFERROR(IF(AND($A962&lt;&gt;"",$E962&lt;&gt;"",$A962&gt;=PeriodStart,$A962&lt;=PeriodEnd),$E962+ROW()/1000000,0),0)</f>
        <v>0</v>
      </c>
    </row>
    <row r="963" customFormat="false" ht="15" hidden="false" customHeight="false" outlineLevel="0" collapsed="false">
      <c r="A963" s="75"/>
      <c r="B963" s="76"/>
      <c r="C963" s="77"/>
      <c r="D963" s="77"/>
      <c r="E963" s="78"/>
      <c r="F963" s="77"/>
      <c r="G963" s="77"/>
      <c r="H963" s="79" t="n">
        <f aca="false">N(H962)+IFERROR(IF(AND($A963&lt;&gt;"",$E963&lt;&gt;"",$A963&gt;=IF(Search!$E$4="",0,Search!$E$4),$A963&lt;=IF(Search!$E$5="",99999,Search!$E$5),OR(Search!$E$6="",ISNUMBER(SEARCH(Search!$E$6,$C963))),OR(Search!$E$7="All",Search!$E$7="",$D963=Search!$E$7),OR(Search!$E$8="",Search!$E$9="",AND($B963&lt;&gt;"",MOD($B963,1)&gt;=Search!$E$8,MOD($B963,1)&lt;=Search!$E$9))),1,0),0)</f>
        <v>0</v>
      </c>
      <c r="I963" s="79" t="n">
        <f aca="false">IF(H963&gt;N(H962),$E963,0)</f>
        <v>0</v>
      </c>
      <c r="J963" s="79" t="n">
        <f aca="false">IFERROR(IF(AND($A963&lt;&gt;"",$E963&lt;&gt;"",$A963&gt;=PeriodStart,$A963&lt;=PeriodEnd),$E963+ROW()/1000000,0),0)</f>
        <v>0</v>
      </c>
    </row>
    <row r="964" customFormat="false" ht="15" hidden="false" customHeight="false" outlineLevel="0" collapsed="false">
      <c r="A964" s="75"/>
      <c r="B964" s="76"/>
      <c r="C964" s="77"/>
      <c r="D964" s="77"/>
      <c r="E964" s="78"/>
      <c r="F964" s="77"/>
      <c r="G964" s="77"/>
      <c r="H964" s="79" t="n">
        <f aca="false">N(H963)+IFERROR(IF(AND($A964&lt;&gt;"",$E964&lt;&gt;"",$A964&gt;=IF(Search!$E$4="",0,Search!$E$4),$A964&lt;=IF(Search!$E$5="",99999,Search!$E$5),OR(Search!$E$6="",ISNUMBER(SEARCH(Search!$E$6,$C964))),OR(Search!$E$7="All",Search!$E$7="",$D964=Search!$E$7),OR(Search!$E$8="",Search!$E$9="",AND($B964&lt;&gt;"",MOD($B964,1)&gt;=Search!$E$8,MOD($B964,1)&lt;=Search!$E$9))),1,0),0)</f>
        <v>0</v>
      </c>
      <c r="I964" s="79" t="n">
        <f aca="false">IF(H964&gt;N(H963),$E964,0)</f>
        <v>0</v>
      </c>
      <c r="J964" s="79" t="n">
        <f aca="false">IFERROR(IF(AND($A964&lt;&gt;"",$E964&lt;&gt;"",$A964&gt;=PeriodStart,$A964&lt;=PeriodEnd),$E964+ROW()/1000000,0),0)</f>
        <v>0</v>
      </c>
    </row>
    <row r="965" customFormat="false" ht="15" hidden="false" customHeight="false" outlineLevel="0" collapsed="false">
      <c r="A965" s="75"/>
      <c r="B965" s="76"/>
      <c r="C965" s="77"/>
      <c r="D965" s="77"/>
      <c r="E965" s="78"/>
      <c r="F965" s="77"/>
      <c r="G965" s="77"/>
      <c r="H965" s="79" t="n">
        <f aca="false">N(H964)+IFERROR(IF(AND($A965&lt;&gt;"",$E965&lt;&gt;"",$A965&gt;=IF(Search!$E$4="",0,Search!$E$4),$A965&lt;=IF(Search!$E$5="",99999,Search!$E$5),OR(Search!$E$6="",ISNUMBER(SEARCH(Search!$E$6,$C965))),OR(Search!$E$7="All",Search!$E$7="",$D965=Search!$E$7),OR(Search!$E$8="",Search!$E$9="",AND($B965&lt;&gt;"",MOD($B965,1)&gt;=Search!$E$8,MOD($B965,1)&lt;=Search!$E$9))),1,0),0)</f>
        <v>0</v>
      </c>
      <c r="I965" s="79" t="n">
        <f aca="false">IF(H965&gt;N(H964),$E965,0)</f>
        <v>0</v>
      </c>
      <c r="J965" s="79" t="n">
        <f aca="false">IFERROR(IF(AND($A965&lt;&gt;"",$E965&lt;&gt;"",$A965&gt;=PeriodStart,$A965&lt;=PeriodEnd),$E965+ROW()/1000000,0),0)</f>
        <v>0</v>
      </c>
    </row>
    <row r="966" customFormat="false" ht="15" hidden="false" customHeight="false" outlineLevel="0" collapsed="false">
      <c r="A966" s="75"/>
      <c r="B966" s="76"/>
      <c r="C966" s="77"/>
      <c r="D966" s="77"/>
      <c r="E966" s="78"/>
      <c r="F966" s="77"/>
      <c r="G966" s="77"/>
      <c r="H966" s="79" t="n">
        <f aca="false">N(H965)+IFERROR(IF(AND($A966&lt;&gt;"",$E966&lt;&gt;"",$A966&gt;=IF(Search!$E$4="",0,Search!$E$4),$A966&lt;=IF(Search!$E$5="",99999,Search!$E$5),OR(Search!$E$6="",ISNUMBER(SEARCH(Search!$E$6,$C966))),OR(Search!$E$7="All",Search!$E$7="",$D966=Search!$E$7),OR(Search!$E$8="",Search!$E$9="",AND($B966&lt;&gt;"",MOD($B966,1)&gt;=Search!$E$8,MOD($B966,1)&lt;=Search!$E$9))),1,0),0)</f>
        <v>0</v>
      </c>
      <c r="I966" s="79" t="n">
        <f aca="false">IF(H966&gt;N(H965),$E966,0)</f>
        <v>0</v>
      </c>
      <c r="J966" s="79" t="n">
        <f aca="false">IFERROR(IF(AND($A966&lt;&gt;"",$E966&lt;&gt;"",$A966&gt;=PeriodStart,$A966&lt;=PeriodEnd),$E966+ROW()/1000000,0),0)</f>
        <v>0</v>
      </c>
    </row>
    <row r="967" customFormat="false" ht="15" hidden="false" customHeight="false" outlineLevel="0" collapsed="false">
      <c r="A967" s="75"/>
      <c r="B967" s="76"/>
      <c r="C967" s="77"/>
      <c r="D967" s="77"/>
      <c r="E967" s="78"/>
      <c r="F967" s="77"/>
      <c r="G967" s="77"/>
      <c r="H967" s="79" t="n">
        <f aca="false">N(H966)+IFERROR(IF(AND($A967&lt;&gt;"",$E967&lt;&gt;"",$A967&gt;=IF(Search!$E$4="",0,Search!$E$4),$A967&lt;=IF(Search!$E$5="",99999,Search!$E$5),OR(Search!$E$6="",ISNUMBER(SEARCH(Search!$E$6,$C967))),OR(Search!$E$7="All",Search!$E$7="",$D967=Search!$E$7),OR(Search!$E$8="",Search!$E$9="",AND($B967&lt;&gt;"",MOD($B967,1)&gt;=Search!$E$8,MOD($B967,1)&lt;=Search!$E$9))),1,0),0)</f>
        <v>0</v>
      </c>
      <c r="I967" s="79" t="n">
        <f aca="false">IF(H967&gt;N(H966),$E967,0)</f>
        <v>0</v>
      </c>
      <c r="J967" s="79" t="n">
        <f aca="false">IFERROR(IF(AND($A967&lt;&gt;"",$E967&lt;&gt;"",$A967&gt;=PeriodStart,$A967&lt;=PeriodEnd),$E967+ROW()/1000000,0),0)</f>
        <v>0</v>
      </c>
    </row>
    <row r="968" customFormat="false" ht="15" hidden="false" customHeight="false" outlineLevel="0" collapsed="false">
      <c r="A968" s="75"/>
      <c r="B968" s="76"/>
      <c r="C968" s="77"/>
      <c r="D968" s="77"/>
      <c r="E968" s="78"/>
      <c r="F968" s="77"/>
      <c r="G968" s="77"/>
      <c r="H968" s="79" t="n">
        <f aca="false">N(H967)+IFERROR(IF(AND($A968&lt;&gt;"",$E968&lt;&gt;"",$A968&gt;=IF(Search!$E$4="",0,Search!$E$4),$A968&lt;=IF(Search!$E$5="",99999,Search!$E$5),OR(Search!$E$6="",ISNUMBER(SEARCH(Search!$E$6,$C968))),OR(Search!$E$7="All",Search!$E$7="",$D968=Search!$E$7),OR(Search!$E$8="",Search!$E$9="",AND($B968&lt;&gt;"",MOD($B968,1)&gt;=Search!$E$8,MOD($B968,1)&lt;=Search!$E$9))),1,0),0)</f>
        <v>0</v>
      </c>
      <c r="I968" s="79" t="n">
        <f aca="false">IF(H968&gt;N(H967),$E968,0)</f>
        <v>0</v>
      </c>
      <c r="J968" s="79" t="n">
        <f aca="false">IFERROR(IF(AND($A968&lt;&gt;"",$E968&lt;&gt;"",$A968&gt;=PeriodStart,$A968&lt;=PeriodEnd),$E968+ROW()/1000000,0),0)</f>
        <v>0</v>
      </c>
    </row>
    <row r="969" customFormat="false" ht="15" hidden="false" customHeight="false" outlineLevel="0" collapsed="false">
      <c r="A969" s="75"/>
      <c r="B969" s="76"/>
      <c r="C969" s="77"/>
      <c r="D969" s="77"/>
      <c r="E969" s="78"/>
      <c r="F969" s="77"/>
      <c r="G969" s="77"/>
      <c r="H969" s="79" t="n">
        <f aca="false">N(H968)+IFERROR(IF(AND($A969&lt;&gt;"",$E969&lt;&gt;"",$A969&gt;=IF(Search!$E$4="",0,Search!$E$4),$A969&lt;=IF(Search!$E$5="",99999,Search!$E$5),OR(Search!$E$6="",ISNUMBER(SEARCH(Search!$E$6,$C969))),OR(Search!$E$7="All",Search!$E$7="",$D969=Search!$E$7),OR(Search!$E$8="",Search!$E$9="",AND($B969&lt;&gt;"",MOD($B969,1)&gt;=Search!$E$8,MOD($B969,1)&lt;=Search!$E$9))),1,0),0)</f>
        <v>0</v>
      </c>
      <c r="I969" s="79" t="n">
        <f aca="false">IF(H969&gt;N(H968),$E969,0)</f>
        <v>0</v>
      </c>
      <c r="J969" s="79" t="n">
        <f aca="false">IFERROR(IF(AND($A969&lt;&gt;"",$E969&lt;&gt;"",$A969&gt;=PeriodStart,$A969&lt;=PeriodEnd),$E969+ROW()/1000000,0),0)</f>
        <v>0</v>
      </c>
    </row>
    <row r="970" customFormat="false" ht="15" hidden="false" customHeight="false" outlineLevel="0" collapsed="false">
      <c r="A970" s="75"/>
      <c r="B970" s="76"/>
      <c r="C970" s="77"/>
      <c r="D970" s="77"/>
      <c r="E970" s="78"/>
      <c r="F970" s="77"/>
      <c r="G970" s="77"/>
      <c r="H970" s="79" t="n">
        <f aca="false">N(H969)+IFERROR(IF(AND($A970&lt;&gt;"",$E970&lt;&gt;"",$A970&gt;=IF(Search!$E$4="",0,Search!$E$4),$A970&lt;=IF(Search!$E$5="",99999,Search!$E$5),OR(Search!$E$6="",ISNUMBER(SEARCH(Search!$E$6,$C970))),OR(Search!$E$7="All",Search!$E$7="",$D970=Search!$E$7),OR(Search!$E$8="",Search!$E$9="",AND($B970&lt;&gt;"",MOD($B970,1)&gt;=Search!$E$8,MOD($B970,1)&lt;=Search!$E$9))),1,0),0)</f>
        <v>0</v>
      </c>
      <c r="I970" s="79" t="n">
        <f aca="false">IF(H970&gt;N(H969),$E970,0)</f>
        <v>0</v>
      </c>
      <c r="J970" s="79" t="n">
        <f aca="false">IFERROR(IF(AND($A970&lt;&gt;"",$E970&lt;&gt;"",$A970&gt;=PeriodStart,$A970&lt;=PeriodEnd),$E970+ROW()/1000000,0),0)</f>
        <v>0</v>
      </c>
    </row>
    <row r="971" customFormat="false" ht="15" hidden="false" customHeight="false" outlineLevel="0" collapsed="false">
      <c r="A971" s="75"/>
      <c r="B971" s="76"/>
      <c r="C971" s="77"/>
      <c r="D971" s="77"/>
      <c r="E971" s="78"/>
      <c r="F971" s="77"/>
      <c r="G971" s="77"/>
      <c r="H971" s="79" t="n">
        <f aca="false">N(H970)+IFERROR(IF(AND($A971&lt;&gt;"",$E971&lt;&gt;"",$A971&gt;=IF(Search!$E$4="",0,Search!$E$4),$A971&lt;=IF(Search!$E$5="",99999,Search!$E$5),OR(Search!$E$6="",ISNUMBER(SEARCH(Search!$E$6,$C971))),OR(Search!$E$7="All",Search!$E$7="",$D971=Search!$E$7),OR(Search!$E$8="",Search!$E$9="",AND($B971&lt;&gt;"",MOD($B971,1)&gt;=Search!$E$8,MOD($B971,1)&lt;=Search!$E$9))),1,0),0)</f>
        <v>0</v>
      </c>
      <c r="I971" s="79" t="n">
        <f aca="false">IF(H971&gt;N(H970),$E971,0)</f>
        <v>0</v>
      </c>
      <c r="J971" s="79" t="n">
        <f aca="false">IFERROR(IF(AND($A971&lt;&gt;"",$E971&lt;&gt;"",$A971&gt;=PeriodStart,$A971&lt;=PeriodEnd),$E971+ROW()/1000000,0),0)</f>
        <v>0</v>
      </c>
    </row>
    <row r="972" customFormat="false" ht="15" hidden="false" customHeight="false" outlineLevel="0" collapsed="false">
      <c r="A972" s="75"/>
      <c r="B972" s="76"/>
      <c r="C972" s="77"/>
      <c r="D972" s="77"/>
      <c r="E972" s="78"/>
      <c r="F972" s="77"/>
      <c r="G972" s="77"/>
      <c r="H972" s="79" t="n">
        <f aca="false">N(H971)+IFERROR(IF(AND($A972&lt;&gt;"",$E972&lt;&gt;"",$A972&gt;=IF(Search!$E$4="",0,Search!$E$4),$A972&lt;=IF(Search!$E$5="",99999,Search!$E$5),OR(Search!$E$6="",ISNUMBER(SEARCH(Search!$E$6,$C972))),OR(Search!$E$7="All",Search!$E$7="",$D972=Search!$E$7),OR(Search!$E$8="",Search!$E$9="",AND($B972&lt;&gt;"",MOD($B972,1)&gt;=Search!$E$8,MOD($B972,1)&lt;=Search!$E$9))),1,0),0)</f>
        <v>0</v>
      </c>
      <c r="I972" s="79" t="n">
        <f aca="false">IF(H972&gt;N(H971),$E972,0)</f>
        <v>0</v>
      </c>
      <c r="J972" s="79" t="n">
        <f aca="false">IFERROR(IF(AND($A972&lt;&gt;"",$E972&lt;&gt;"",$A972&gt;=PeriodStart,$A972&lt;=PeriodEnd),$E972+ROW()/1000000,0),0)</f>
        <v>0</v>
      </c>
    </row>
    <row r="973" customFormat="false" ht="15" hidden="false" customHeight="false" outlineLevel="0" collapsed="false">
      <c r="A973" s="75"/>
      <c r="B973" s="76"/>
      <c r="C973" s="77"/>
      <c r="D973" s="77"/>
      <c r="E973" s="78"/>
      <c r="F973" s="77"/>
      <c r="G973" s="77"/>
      <c r="H973" s="79" t="n">
        <f aca="false">N(H972)+IFERROR(IF(AND($A973&lt;&gt;"",$E973&lt;&gt;"",$A973&gt;=IF(Search!$E$4="",0,Search!$E$4),$A973&lt;=IF(Search!$E$5="",99999,Search!$E$5),OR(Search!$E$6="",ISNUMBER(SEARCH(Search!$E$6,$C973))),OR(Search!$E$7="All",Search!$E$7="",$D973=Search!$E$7),OR(Search!$E$8="",Search!$E$9="",AND($B973&lt;&gt;"",MOD($B973,1)&gt;=Search!$E$8,MOD($B973,1)&lt;=Search!$E$9))),1,0),0)</f>
        <v>0</v>
      </c>
      <c r="I973" s="79" t="n">
        <f aca="false">IF(H973&gt;N(H972),$E973,0)</f>
        <v>0</v>
      </c>
      <c r="J973" s="79" t="n">
        <f aca="false">IFERROR(IF(AND($A973&lt;&gt;"",$E973&lt;&gt;"",$A973&gt;=PeriodStart,$A973&lt;=PeriodEnd),$E973+ROW()/1000000,0),0)</f>
        <v>0</v>
      </c>
    </row>
    <row r="974" customFormat="false" ht="15" hidden="false" customHeight="false" outlineLevel="0" collapsed="false">
      <c r="A974" s="75"/>
      <c r="B974" s="76"/>
      <c r="C974" s="77"/>
      <c r="D974" s="77"/>
      <c r="E974" s="78"/>
      <c r="F974" s="77"/>
      <c r="G974" s="77"/>
      <c r="H974" s="79" t="n">
        <f aca="false">N(H973)+IFERROR(IF(AND($A974&lt;&gt;"",$E974&lt;&gt;"",$A974&gt;=IF(Search!$E$4="",0,Search!$E$4),$A974&lt;=IF(Search!$E$5="",99999,Search!$E$5),OR(Search!$E$6="",ISNUMBER(SEARCH(Search!$E$6,$C974))),OR(Search!$E$7="All",Search!$E$7="",$D974=Search!$E$7),OR(Search!$E$8="",Search!$E$9="",AND($B974&lt;&gt;"",MOD($B974,1)&gt;=Search!$E$8,MOD($B974,1)&lt;=Search!$E$9))),1,0),0)</f>
        <v>0</v>
      </c>
      <c r="I974" s="79" t="n">
        <f aca="false">IF(H974&gt;N(H973),$E974,0)</f>
        <v>0</v>
      </c>
      <c r="J974" s="79" t="n">
        <f aca="false">IFERROR(IF(AND($A974&lt;&gt;"",$E974&lt;&gt;"",$A974&gt;=PeriodStart,$A974&lt;=PeriodEnd),$E974+ROW()/1000000,0),0)</f>
        <v>0</v>
      </c>
    </row>
    <row r="975" customFormat="false" ht="15" hidden="false" customHeight="false" outlineLevel="0" collapsed="false">
      <c r="A975" s="75"/>
      <c r="B975" s="76"/>
      <c r="C975" s="77"/>
      <c r="D975" s="77"/>
      <c r="E975" s="78"/>
      <c r="F975" s="77"/>
      <c r="G975" s="77"/>
      <c r="H975" s="79" t="n">
        <f aca="false">N(H974)+IFERROR(IF(AND($A975&lt;&gt;"",$E975&lt;&gt;"",$A975&gt;=IF(Search!$E$4="",0,Search!$E$4),$A975&lt;=IF(Search!$E$5="",99999,Search!$E$5),OR(Search!$E$6="",ISNUMBER(SEARCH(Search!$E$6,$C975))),OR(Search!$E$7="All",Search!$E$7="",$D975=Search!$E$7),OR(Search!$E$8="",Search!$E$9="",AND($B975&lt;&gt;"",MOD($B975,1)&gt;=Search!$E$8,MOD($B975,1)&lt;=Search!$E$9))),1,0),0)</f>
        <v>0</v>
      </c>
      <c r="I975" s="79" t="n">
        <f aca="false">IF(H975&gt;N(H974),$E975,0)</f>
        <v>0</v>
      </c>
      <c r="J975" s="79" t="n">
        <f aca="false">IFERROR(IF(AND($A975&lt;&gt;"",$E975&lt;&gt;"",$A975&gt;=PeriodStart,$A975&lt;=PeriodEnd),$E975+ROW()/1000000,0),0)</f>
        <v>0</v>
      </c>
    </row>
    <row r="976" customFormat="false" ht="15" hidden="false" customHeight="false" outlineLevel="0" collapsed="false">
      <c r="A976" s="75"/>
      <c r="B976" s="76"/>
      <c r="C976" s="77"/>
      <c r="D976" s="77"/>
      <c r="E976" s="78"/>
      <c r="F976" s="77"/>
      <c r="G976" s="77"/>
      <c r="H976" s="79" t="n">
        <f aca="false">N(H975)+IFERROR(IF(AND($A976&lt;&gt;"",$E976&lt;&gt;"",$A976&gt;=IF(Search!$E$4="",0,Search!$E$4),$A976&lt;=IF(Search!$E$5="",99999,Search!$E$5),OR(Search!$E$6="",ISNUMBER(SEARCH(Search!$E$6,$C976))),OR(Search!$E$7="All",Search!$E$7="",$D976=Search!$E$7),OR(Search!$E$8="",Search!$E$9="",AND($B976&lt;&gt;"",MOD($B976,1)&gt;=Search!$E$8,MOD($B976,1)&lt;=Search!$E$9))),1,0),0)</f>
        <v>0</v>
      </c>
      <c r="I976" s="79" t="n">
        <f aca="false">IF(H976&gt;N(H975),$E976,0)</f>
        <v>0</v>
      </c>
      <c r="J976" s="79" t="n">
        <f aca="false">IFERROR(IF(AND($A976&lt;&gt;"",$E976&lt;&gt;"",$A976&gt;=PeriodStart,$A976&lt;=PeriodEnd),$E976+ROW()/1000000,0),0)</f>
        <v>0</v>
      </c>
    </row>
    <row r="977" customFormat="false" ht="15" hidden="false" customHeight="false" outlineLevel="0" collapsed="false">
      <c r="A977" s="75"/>
      <c r="B977" s="76"/>
      <c r="C977" s="77"/>
      <c r="D977" s="77"/>
      <c r="E977" s="78"/>
      <c r="F977" s="77"/>
      <c r="G977" s="77"/>
      <c r="H977" s="79" t="n">
        <f aca="false">N(H976)+IFERROR(IF(AND($A977&lt;&gt;"",$E977&lt;&gt;"",$A977&gt;=IF(Search!$E$4="",0,Search!$E$4),$A977&lt;=IF(Search!$E$5="",99999,Search!$E$5),OR(Search!$E$6="",ISNUMBER(SEARCH(Search!$E$6,$C977))),OR(Search!$E$7="All",Search!$E$7="",$D977=Search!$E$7),OR(Search!$E$8="",Search!$E$9="",AND($B977&lt;&gt;"",MOD($B977,1)&gt;=Search!$E$8,MOD($B977,1)&lt;=Search!$E$9))),1,0),0)</f>
        <v>0</v>
      </c>
      <c r="I977" s="79" t="n">
        <f aca="false">IF(H977&gt;N(H976),$E977,0)</f>
        <v>0</v>
      </c>
      <c r="J977" s="79" t="n">
        <f aca="false">IFERROR(IF(AND($A977&lt;&gt;"",$E977&lt;&gt;"",$A977&gt;=PeriodStart,$A977&lt;=PeriodEnd),$E977+ROW()/1000000,0),0)</f>
        <v>0</v>
      </c>
    </row>
    <row r="978" customFormat="false" ht="15" hidden="false" customHeight="false" outlineLevel="0" collapsed="false">
      <c r="A978" s="75"/>
      <c r="B978" s="76"/>
      <c r="C978" s="77"/>
      <c r="D978" s="77"/>
      <c r="E978" s="78"/>
      <c r="F978" s="77"/>
      <c r="G978" s="77"/>
      <c r="H978" s="79" t="n">
        <f aca="false">N(H977)+IFERROR(IF(AND($A978&lt;&gt;"",$E978&lt;&gt;"",$A978&gt;=IF(Search!$E$4="",0,Search!$E$4),$A978&lt;=IF(Search!$E$5="",99999,Search!$E$5),OR(Search!$E$6="",ISNUMBER(SEARCH(Search!$E$6,$C978))),OR(Search!$E$7="All",Search!$E$7="",$D978=Search!$E$7),OR(Search!$E$8="",Search!$E$9="",AND($B978&lt;&gt;"",MOD($B978,1)&gt;=Search!$E$8,MOD($B978,1)&lt;=Search!$E$9))),1,0),0)</f>
        <v>0</v>
      </c>
      <c r="I978" s="79" t="n">
        <f aca="false">IF(H978&gt;N(H977),$E978,0)</f>
        <v>0</v>
      </c>
      <c r="J978" s="79" t="n">
        <f aca="false">IFERROR(IF(AND($A978&lt;&gt;"",$E978&lt;&gt;"",$A978&gt;=PeriodStart,$A978&lt;=PeriodEnd),$E978+ROW()/1000000,0),0)</f>
        <v>0</v>
      </c>
    </row>
    <row r="979" customFormat="false" ht="15" hidden="false" customHeight="false" outlineLevel="0" collapsed="false">
      <c r="A979" s="75"/>
      <c r="B979" s="76"/>
      <c r="C979" s="77"/>
      <c r="D979" s="77"/>
      <c r="E979" s="78"/>
      <c r="F979" s="77"/>
      <c r="G979" s="77"/>
      <c r="H979" s="79" t="n">
        <f aca="false">N(H978)+IFERROR(IF(AND($A979&lt;&gt;"",$E979&lt;&gt;"",$A979&gt;=IF(Search!$E$4="",0,Search!$E$4),$A979&lt;=IF(Search!$E$5="",99999,Search!$E$5),OR(Search!$E$6="",ISNUMBER(SEARCH(Search!$E$6,$C979))),OR(Search!$E$7="All",Search!$E$7="",$D979=Search!$E$7),OR(Search!$E$8="",Search!$E$9="",AND($B979&lt;&gt;"",MOD($B979,1)&gt;=Search!$E$8,MOD($B979,1)&lt;=Search!$E$9))),1,0),0)</f>
        <v>0</v>
      </c>
      <c r="I979" s="79" t="n">
        <f aca="false">IF(H979&gt;N(H978),$E979,0)</f>
        <v>0</v>
      </c>
      <c r="J979" s="79" t="n">
        <f aca="false">IFERROR(IF(AND($A979&lt;&gt;"",$E979&lt;&gt;"",$A979&gt;=PeriodStart,$A979&lt;=PeriodEnd),$E979+ROW()/1000000,0),0)</f>
        <v>0</v>
      </c>
    </row>
    <row r="980" customFormat="false" ht="15" hidden="false" customHeight="false" outlineLevel="0" collapsed="false">
      <c r="A980" s="75"/>
      <c r="B980" s="76"/>
      <c r="C980" s="77"/>
      <c r="D980" s="77"/>
      <c r="E980" s="78"/>
      <c r="F980" s="77"/>
      <c r="G980" s="77"/>
      <c r="H980" s="79" t="n">
        <f aca="false">N(H979)+IFERROR(IF(AND($A980&lt;&gt;"",$E980&lt;&gt;"",$A980&gt;=IF(Search!$E$4="",0,Search!$E$4),$A980&lt;=IF(Search!$E$5="",99999,Search!$E$5),OR(Search!$E$6="",ISNUMBER(SEARCH(Search!$E$6,$C980))),OR(Search!$E$7="All",Search!$E$7="",$D980=Search!$E$7),OR(Search!$E$8="",Search!$E$9="",AND($B980&lt;&gt;"",MOD($B980,1)&gt;=Search!$E$8,MOD($B980,1)&lt;=Search!$E$9))),1,0),0)</f>
        <v>0</v>
      </c>
      <c r="I980" s="79" t="n">
        <f aca="false">IF(H980&gt;N(H979),$E980,0)</f>
        <v>0</v>
      </c>
      <c r="J980" s="79" t="n">
        <f aca="false">IFERROR(IF(AND($A980&lt;&gt;"",$E980&lt;&gt;"",$A980&gt;=PeriodStart,$A980&lt;=PeriodEnd),$E980+ROW()/1000000,0),0)</f>
        <v>0</v>
      </c>
    </row>
    <row r="981" customFormat="false" ht="15" hidden="false" customHeight="false" outlineLevel="0" collapsed="false">
      <c r="A981" s="75"/>
      <c r="B981" s="76"/>
      <c r="C981" s="77"/>
      <c r="D981" s="77"/>
      <c r="E981" s="78"/>
      <c r="F981" s="77"/>
      <c r="G981" s="77"/>
      <c r="H981" s="79" t="n">
        <f aca="false">N(H980)+IFERROR(IF(AND($A981&lt;&gt;"",$E981&lt;&gt;"",$A981&gt;=IF(Search!$E$4="",0,Search!$E$4),$A981&lt;=IF(Search!$E$5="",99999,Search!$E$5),OR(Search!$E$6="",ISNUMBER(SEARCH(Search!$E$6,$C981))),OR(Search!$E$7="All",Search!$E$7="",$D981=Search!$E$7),OR(Search!$E$8="",Search!$E$9="",AND($B981&lt;&gt;"",MOD($B981,1)&gt;=Search!$E$8,MOD($B981,1)&lt;=Search!$E$9))),1,0),0)</f>
        <v>0</v>
      </c>
      <c r="I981" s="79" t="n">
        <f aca="false">IF(H981&gt;N(H980),$E981,0)</f>
        <v>0</v>
      </c>
      <c r="J981" s="79" t="n">
        <f aca="false">IFERROR(IF(AND($A981&lt;&gt;"",$E981&lt;&gt;"",$A981&gt;=PeriodStart,$A981&lt;=PeriodEnd),$E981+ROW()/1000000,0),0)</f>
        <v>0</v>
      </c>
    </row>
    <row r="982" customFormat="false" ht="15" hidden="false" customHeight="false" outlineLevel="0" collapsed="false">
      <c r="A982" s="75"/>
      <c r="B982" s="76"/>
      <c r="C982" s="77"/>
      <c r="D982" s="77"/>
      <c r="E982" s="78"/>
      <c r="F982" s="77"/>
      <c r="G982" s="77"/>
      <c r="H982" s="79" t="n">
        <f aca="false">N(H981)+IFERROR(IF(AND($A982&lt;&gt;"",$E982&lt;&gt;"",$A982&gt;=IF(Search!$E$4="",0,Search!$E$4),$A982&lt;=IF(Search!$E$5="",99999,Search!$E$5),OR(Search!$E$6="",ISNUMBER(SEARCH(Search!$E$6,$C982))),OR(Search!$E$7="All",Search!$E$7="",$D982=Search!$E$7),OR(Search!$E$8="",Search!$E$9="",AND($B982&lt;&gt;"",MOD($B982,1)&gt;=Search!$E$8,MOD($B982,1)&lt;=Search!$E$9))),1,0),0)</f>
        <v>0</v>
      </c>
      <c r="I982" s="79" t="n">
        <f aca="false">IF(H982&gt;N(H981),$E982,0)</f>
        <v>0</v>
      </c>
      <c r="J982" s="79" t="n">
        <f aca="false">IFERROR(IF(AND($A982&lt;&gt;"",$E982&lt;&gt;"",$A982&gt;=PeriodStart,$A982&lt;=PeriodEnd),$E982+ROW()/1000000,0),0)</f>
        <v>0</v>
      </c>
    </row>
    <row r="983" customFormat="false" ht="15" hidden="false" customHeight="false" outlineLevel="0" collapsed="false">
      <c r="A983" s="75"/>
      <c r="B983" s="76"/>
      <c r="C983" s="77"/>
      <c r="D983" s="77"/>
      <c r="E983" s="78"/>
      <c r="F983" s="77"/>
      <c r="G983" s="77"/>
      <c r="H983" s="79" t="n">
        <f aca="false">N(H982)+IFERROR(IF(AND($A983&lt;&gt;"",$E983&lt;&gt;"",$A983&gt;=IF(Search!$E$4="",0,Search!$E$4),$A983&lt;=IF(Search!$E$5="",99999,Search!$E$5),OR(Search!$E$6="",ISNUMBER(SEARCH(Search!$E$6,$C983))),OR(Search!$E$7="All",Search!$E$7="",$D983=Search!$E$7),OR(Search!$E$8="",Search!$E$9="",AND($B983&lt;&gt;"",MOD($B983,1)&gt;=Search!$E$8,MOD($B983,1)&lt;=Search!$E$9))),1,0),0)</f>
        <v>0</v>
      </c>
      <c r="I983" s="79" t="n">
        <f aca="false">IF(H983&gt;N(H982),$E983,0)</f>
        <v>0</v>
      </c>
      <c r="J983" s="79" t="n">
        <f aca="false">IFERROR(IF(AND($A983&lt;&gt;"",$E983&lt;&gt;"",$A983&gt;=PeriodStart,$A983&lt;=PeriodEnd),$E983+ROW()/1000000,0),0)</f>
        <v>0</v>
      </c>
    </row>
    <row r="984" customFormat="false" ht="15" hidden="false" customHeight="false" outlineLevel="0" collapsed="false">
      <c r="A984" s="75"/>
      <c r="B984" s="76"/>
      <c r="C984" s="77"/>
      <c r="D984" s="77"/>
      <c r="E984" s="78"/>
      <c r="F984" s="77"/>
      <c r="G984" s="77"/>
      <c r="H984" s="79" t="n">
        <f aca="false">N(H983)+IFERROR(IF(AND($A984&lt;&gt;"",$E984&lt;&gt;"",$A984&gt;=IF(Search!$E$4="",0,Search!$E$4),$A984&lt;=IF(Search!$E$5="",99999,Search!$E$5),OR(Search!$E$6="",ISNUMBER(SEARCH(Search!$E$6,$C984))),OR(Search!$E$7="All",Search!$E$7="",$D984=Search!$E$7),OR(Search!$E$8="",Search!$E$9="",AND($B984&lt;&gt;"",MOD($B984,1)&gt;=Search!$E$8,MOD($B984,1)&lt;=Search!$E$9))),1,0),0)</f>
        <v>0</v>
      </c>
      <c r="I984" s="79" t="n">
        <f aca="false">IF(H984&gt;N(H983),$E984,0)</f>
        <v>0</v>
      </c>
      <c r="J984" s="79" t="n">
        <f aca="false">IFERROR(IF(AND($A984&lt;&gt;"",$E984&lt;&gt;"",$A984&gt;=PeriodStart,$A984&lt;=PeriodEnd),$E984+ROW()/1000000,0),0)</f>
        <v>0</v>
      </c>
    </row>
    <row r="985" customFormat="false" ht="15" hidden="false" customHeight="false" outlineLevel="0" collapsed="false">
      <c r="A985" s="75"/>
      <c r="B985" s="76"/>
      <c r="C985" s="77"/>
      <c r="D985" s="77"/>
      <c r="E985" s="78"/>
      <c r="F985" s="77"/>
      <c r="G985" s="77"/>
      <c r="H985" s="79" t="n">
        <f aca="false">N(H984)+IFERROR(IF(AND($A985&lt;&gt;"",$E985&lt;&gt;"",$A985&gt;=IF(Search!$E$4="",0,Search!$E$4),$A985&lt;=IF(Search!$E$5="",99999,Search!$E$5),OR(Search!$E$6="",ISNUMBER(SEARCH(Search!$E$6,$C985))),OR(Search!$E$7="All",Search!$E$7="",$D985=Search!$E$7),OR(Search!$E$8="",Search!$E$9="",AND($B985&lt;&gt;"",MOD($B985,1)&gt;=Search!$E$8,MOD($B985,1)&lt;=Search!$E$9))),1,0),0)</f>
        <v>0</v>
      </c>
      <c r="I985" s="79" t="n">
        <f aca="false">IF(H985&gt;N(H984),$E985,0)</f>
        <v>0</v>
      </c>
      <c r="J985" s="79" t="n">
        <f aca="false">IFERROR(IF(AND($A985&lt;&gt;"",$E985&lt;&gt;"",$A985&gt;=PeriodStart,$A985&lt;=PeriodEnd),$E985+ROW()/1000000,0),0)</f>
        <v>0</v>
      </c>
    </row>
    <row r="986" customFormat="false" ht="15" hidden="false" customHeight="false" outlineLevel="0" collapsed="false">
      <c r="A986" s="75"/>
      <c r="B986" s="76"/>
      <c r="C986" s="77"/>
      <c r="D986" s="77"/>
      <c r="E986" s="78"/>
      <c r="F986" s="77"/>
      <c r="G986" s="77"/>
      <c r="H986" s="79" t="n">
        <f aca="false">N(H985)+IFERROR(IF(AND($A986&lt;&gt;"",$E986&lt;&gt;"",$A986&gt;=IF(Search!$E$4="",0,Search!$E$4),$A986&lt;=IF(Search!$E$5="",99999,Search!$E$5),OR(Search!$E$6="",ISNUMBER(SEARCH(Search!$E$6,$C986))),OR(Search!$E$7="All",Search!$E$7="",$D986=Search!$E$7),OR(Search!$E$8="",Search!$E$9="",AND($B986&lt;&gt;"",MOD($B986,1)&gt;=Search!$E$8,MOD($B986,1)&lt;=Search!$E$9))),1,0),0)</f>
        <v>0</v>
      </c>
      <c r="I986" s="79" t="n">
        <f aca="false">IF(H986&gt;N(H985),$E986,0)</f>
        <v>0</v>
      </c>
      <c r="J986" s="79" t="n">
        <f aca="false">IFERROR(IF(AND($A986&lt;&gt;"",$E986&lt;&gt;"",$A986&gt;=PeriodStart,$A986&lt;=PeriodEnd),$E986+ROW()/1000000,0),0)</f>
        <v>0</v>
      </c>
    </row>
    <row r="987" customFormat="false" ht="15" hidden="false" customHeight="false" outlineLevel="0" collapsed="false">
      <c r="A987" s="75"/>
      <c r="B987" s="76"/>
      <c r="C987" s="77"/>
      <c r="D987" s="77"/>
      <c r="E987" s="78"/>
      <c r="F987" s="77"/>
      <c r="G987" s="77"/>
      <c r="H987" s="79" t="n">
        <f aca="false">N(H986)+IFERROR(IF(AND($A987&lt;&gt;"",$E987&lt;&gt;"",$A987&gt;=IF(Search!$E$4="",0,Search!$E$4),$A987&lt;=IF(Search!$E$5="",99999,Search!$E$5),OR(Search!$E$6="",ISNUMBER(SEARCH(Search!$E$6,$C987))),OR(Search!$E$7="All",Search!$E$7="",$D987=Search!$E$7),OR(Search!$E$8="",Search!$E$9="",AND($B987&lt;&gt;"",MOD($B987,1)&gt;=Search!$E$8,MOD($B987,1)&lt;=Search!$E$9))),1,0),0)</f>
        <v>0</v>
      </c>
      <c r="I987" s="79" t="n">
        <f aca="false">IF(H987&gt;N(H986),$E987,0)</f>
        <v>0</v>
      </c>
      <c r="J987" s="79" t="n">
        <f aca="false">IFERROR(IF(AND($A987&lt;&gt;"",$E987&lt;&gt;"",$A987&gt;=PeriodStart,$A987&lt;=PeriodEnd),$E987+ROW()/1000000,0),0)</f>
        <v>0</v>
      </c>
    </row>
    <row r="988" customFormat="false" ht="15" hidden="false" customHeight="false" outlineLevel="0" collapsed="false">
      <c r="A988" s="75"/>
      <c r="B988" s="76"/>
      <c r="C988" s="77"/>
      <c r="D988" s="77"/>
      <c r="E988" s="78"/>
      <c r="F988" s="77"/>
      <c r="G988" s="77"/>
      <c r="H988" s="79" t="n">
        <f aca="false">N(H987)+IFERROR(IF(AND($A988&lt;&gt;"",$E988&lt;&gt;"",$A988&gt;=IF(Search!$E$4="",0,Search!$E$4),$A988&lt;=IF(Search!$E$5="",99999,Search!$E$5),OR(Search!$E$6="",ISNUMBER(SEARCH(Search!$E$6,$C988))),OR(Search!$E$7="All",Search!$E$7="",$D988=Search!$E$7),OR(Search!$E$8="",Search!$E$9="",AND($B988&lt;&gt;"",MOD($B988,1)&gt;=Search!$E$8,MOD($B988,1)&lt;=Search!$E$9))),1,0),0)</f>
        <v>0</v>
      </c>
      <c r="I988" s="79" t="n">
        <f aca="false">IF(H988&gt;N(H987),$E988,0)</f>
        <v>0</v>
      </c>
      <c r="J988" s="79" t="n">
        <f aca="false">IFERROR(IF(AND($A988&lt;&gt;"",$E988&lt;&gt;"",$A988&gt;=PeriodStart,$A988&lt;=PeriodEnd),$E988+ROW()/1000000,0),0)</f>
        <v>0</v>
      </c>
    </row>
    <row r="989" customFormat="false" ht="15" hidden="false" customHeight="false" outlineLevel="0" collapsed="false">
      <c r="A989" s="75"/>
      <c r="B989" s="76"/>
      <c r="C989" s="77"/>
      <c r="D989" s="77"/>
      <c r="E989" s="78"/>
      <c r="F989" s="77"/>
      <c r="G989" s="77"/>
      <c r="H989" s="79" t="n">
        <f aca="false">N(H988)+IFERROR(IF(AND($A989&lt;&gt;"",$E989&lt;&gt;"",$A989&gt;=IF(Search!$E$4="",0,Search!$E$4),$A989&lt;=IF(Search!$E$5="",99999,Search!$E$5),OR(Search!$E$6="",ISNUMBER(SEARCH(Search!$E$6,$C989))),OR(Search!$E$7="All",Search!$E$7="",$D989=Search!$E$7),OR(Search!$E$8="",Search!$E$9="",AND($B989&lt;&gt;"",MOD($B989,1)&gt;=Search!$E$8,MOD($B989,1)&lt;=Search!$E$9))),1,0),0)</f>
        <v>0</v>
      </c>
      <c r="I989" s="79" t="n">
        <f aca="false">IF(H989&gt;N(H988),$E989,0)</f>
        <v>0</v>
      </c>
      <c r="J989" s="79" t="n">
        <f aca="false">IFERROR(IF(AND($A989&lt;&gt;"",$E989&lt;&gt;"",$A989&gt;=PeriodStart,$A989&lt;=PeriodEnd),$E989+ROW()/1000000,0),0)</f>
        <v>0</v>
      </c>
    </row>
    <row r="990" customFormat="false" ht="15" hidden="false" customHeight="false" outlineLevel="0" collapsed="false">
      <c r="A990" s="75"/>
      <c r="B990" s="76"/>
      <c r="C990" s="77"/>
      <c r="D990" s="77"/>
      <c r="E990" s="78"/>
      <c r="F990" s="77"/>
      <c r="G990" s="77"/>
      <c r="H990" s="79" t="n">
        <f aca="false">N(H989)+IFERROR(IF(AND($A990&lt;&gt;"",$E990&lt;&gt;"",$A990&gt;=IF(Search!$E$4="",0,Search!$E$4),$A990&lt;=IF(Search!$E$5="",99999,Search!$E$5),OR(Search!$E$6="",ISNUMBER(SEARCH(Search!$E$6,$C990))),OR(Search!$E$7="All",Search!$E$7="",$D990=Search!$E$7),OR(Search!$E$8="",Search!$E$9="",AND($B990&lt;&gt;"",MOD($B990,1)&gt;=Search!$E$8,MOD($B990,1)&lt;=Search!$E$9))),1,0),0)</f>
        <v>0</v>
      </c>
      <c r="I990" s="79" t="n">
        <f aca="false">IF(H990&gt;N(H989),$E990,0)</f>
        <v>0</v>
      </c>
      <c r="J990" s="79" t="n">
        <f aca="false">IFERROR(IF(AND($A990&lt;&gt;"",$E990&lt;&gt;"",$A990&gt;=PeriodStart,$A990&lt;=PeriodEnd),$E990+ROW()/1000000,0),0)</f>
        <v>0</v>
      </c>
    </row>
    <row r="991" customFormat="false" ht="15" hidden="false" customHeight="false" outlineLevel="0" collapsed="false">
      <c r="A991" s="75"/>
      <c r="B991" s="76"/>
      <c r="C991" s="77"/>
      <c r="D991" s="77"/>
      <c r="E991" s="78"/>
      <c r="F991" s="77"/>
      <c r="G991" s="77"/>
      <c r="H991" s="79" t="n">
        <f aca="false">N(H990)+IFERROR(IF(AND($A991&lt;&gt;"",$E991&lt;&gt;"",$A991&gt;=IF(Search!$E$4="",0,Search!$E$4),$A991&lt;=IF(Search!$E$5="",99999,Search!$E$5),OR(Search!$E$6="",ISNUMBER(SEARCH(Search!$E$6,$C991))),OR(Search!$E$7="All",Search!$E$7="",$D991=Search!$E$7),OR(Search!$E$8="",Search!$E$9="",AND($B991&lt;&gt;"",MOD($B991,1)&gt;=Search!$E$8,MOD($B991,1)&lt;=Search!$E$9))),1,0),0)</f>
        <v>0</v>
      </c>
      <c r="I991" s="79" t="n">
        <f aca="false">IF(H991&gt;N(H990),$E991,0)</f>
        <v>0</v>
      </c>
      <c r="J991" s="79" t="n">
        <f aca="false">IFERROR(IF(AND($A991&lt;&gt;"",$E991&lt;&gt;"",$A991&gt;=PeriodStart,$A991&lt;=PeriodEnd),$E991+ROW()/1000000,0),0)</f>
        <v>0</v>
      </c>
    </row>
    <row r="992" customFormat="false" ht="15" hidden="false" customHeight="false" outlineLevel="0" collapsed="false">
      <c r="A992" s="75"/>
      <c r="B992" s="76"/>
      <c r="C992" s="77"/>
      <c r="D992" s="77"/>
      <c r="E992" s="78"/>
      <c r="F992" s="77"/>
      <c r="G992" s="77"/>
      <c r="H992" s="79" t="n">
        <f aca="false">N(H991)+IFERROR(IF(AND($A992&lt;&gt;"",$E992&lt;&gt;"",$A992&gt;=IF(Search!$E$4="",0,Search!$E$4),$A992&lt;=IF(Search!$E$5="",99999,Search!$E$5),OR(Search!$E$6="",ISNUMBER(SEARCH(Search!$E$6,$C992))),OR(Search!$E$7="All",Search!$E$7="",$D992=Search!$E$7),OR(Search!$E$8="",Search!$E$9="",AND($B992&lt;&gt;"",MOD($B992,1)&gt;=Search!$E$8,MOD($B992,1)&lt;=Search!$E$9))),1,0),0)</f>
        <v>0</v>
      </c>
      <c r="I992" s="79" t="n">
        <f aca="false">IF(H992&gt;N(H991),$E992,0)</f>
        <v>0</v>
      </c>
      <c r="J992" s="79" t="n">
        <f aca="false">IFERROR(IF(AND($A992&lt;&gt;"",$E992&lt;&gt;"",$A992&gt;=PeriodStart,$A992&lt;=PeriodEnd),$E992+ROW()/1000000,0),0)</f>
        <v>0</v>
      </c>
    </row>
    <row r="993" customFormat="false" ht="15" hidden="false" customHeight="false" outlineLevel="0" collapsed="false">
      <c r="A993" s="75"/>
      <c r="B993" s="76"/>
      <c r="C993" s="77"/>
      <c r="D993" s="77"/>
      <c r="E993" s="78"/>
      <c r="F993" s="77"/>
      <c r="G993" s="77"/>
      <c r="H993" s="79" t="n">
        <f aca="false">N(H992)+IFERROR(IF(AND($A993&lt;&gt;"",$E993&lt;&gt;"",$A993&gt;=IF(Search!$E$4="",0,Search!$E$4),$A993&lt;=IF(Search!$E$5="",99999,Search!$E$5),OR(Search!$E$6="",ISNUMBER(SEARCH(Search!$E$6,$C993))),OR(Search!$E$7="All",Search!$E$7="",$D993=Search!$E$7),OR(Search!$E$8="",Search!$E$9="",AND($B993&lt;&gt;"",MOD($B993,1)&gt;=Search!$E$8,MOD($B993,1)&lt;=Search!$E$9))),1,0),0)</f>
        <v>0</v>
      </c>
      <c r="I993" s="79" t="n">
        <f aca="false">IF(H993&gt;N(H992),$E993,0)</f>
        <v>0</v>
      </c>
      <c r="J993" s="79" t="n">
        <f aca="false">IFERROR(IF(AND($A993&lt;&gt;"",$E993&lt;&gt;"",$A993&gt;=PeriodStart,$A993&lt;=PeriodEnd),$E993+ROW()/1000000,0),0)</f>
        <v>0</v>
      </c>
    </row>
    <row r="994" customFormat="false" ht="15" hidden="false" customHeight="false" outlineLevel="0" collapsed="false">
      <c r="A994" s="75"/>
      <c r="B994" s="76"/>
      <c r="C994" s="77"/>
      <c r="D994" s="77"/>
      <c r="E994" s="78"/>
      <c r="F994" s="77"/>
      <c r="G994" s="77"/>
      <c r="H994" s="79" t="n">
        <f aca="false">N(H993)+IFERROR(IF(AND($A994&lt;&gt;"",$E994&lt;&gt;"",$A994&gt;=IF(Search!$E$4="",0,Search!$E$4),$A994&lt;=IF(Search!$E$5="",99999,Search!$E$5),OR(Search!$E$6="",ISNUMBER(SEARCH(Search!$E$6,$C994))),OR(Search!$E$7="All",Search!$E$7="",$D994=Search!$E$7),OR(Search!$E$8="",Search!$E$9="",AND($B994&lt;&gt;"",MOD($B994,1)&gt;=Search!$E$8,MOD($B994,1)&lt;=Search!$E$9))),1,0),0)</f>
        <v>0</v>
      </c>
      <c r="I994" s="79" t="n">
        <f aca="false">IF(H994&gt;N(H993),$E994,0)</f>
        <v>0</v>
      </c>
      <c r="J994" s="79" t="n">
        <f aca="false">IFERROR(IF(AND($A994&lt;&gt;"",$E994&lt;&gt;"",$A994&gt;=PeriodStart,$A994&lt;=PeriodEnd),$E994+ROW()/1000000,0),0)</f>
        <v>0</v>
      </c>
    </row>
    <row r="995" customFormat="false" ht="15" hidden="false" customHeight="false" outlineLevel="0" collapsed="false">
      <c r="A995" s="75"/>
      <c r="B995" s="76"/>
      <c r="C995" s="77"/>
      <c r="D995" s="77"/>
      <c r="E995" s="78"/>
      <c r="F995" s="77"/>
      <c r="G995" s="77"/>
      <c r="H995" s="79" t="n">
        <f aca="false">N(H994)+IFERROR(IF(AND($A995&lt;&gt;"",$E995&lt;&gt;"",$A995&gt;=IF(Search!$E$4="",0,Search!$E$4),$A995&lt;=IF(Search!$E$5="",99999,Search!$E$5),OR(Search!$E$6="",ISNUMBER(SEARCH(Search!$E$6,$C995))),OR(Search!$E$7="All",Search!$E$7="",$D995=Search!$E$7),OR(Search!$E$8="",Search!$E$9="",AND($B995&lt;&gt;"",MOD($B995,1)&gt;=Search!$E$8,MOD($B995,1)&lt;=Search!$E$9))),1,0),0)</f>
        <v>0</v>
      </c>
      <c r="I995" s="79" t="n">
        <f aca="false">IF(H995&gt;N(H994),$E995,0)</f>
        <v>0</v>
      </c>
      <c r="J995" s="79" t="n">
        <f aca="false">IFERROR(IF(AND($A995&lt;&gt;"",$E995&lt;&gt;"",$A995&gt;=PeriodStart,$A995&lt;=PeriodEnd),$E995+ROW()/1000000,0),0)</f>
        <v>0</v>
      </c>
    </row>
    <row r="996" customFormat="false" ht="15" hidden="false" customHeight="false" outlineLevel="0" collapsed="false">
      <c r="A996" s="75"/>
      <c r="B996" s="76"/>
      <c r="C996" s="77"/>
      <c r="D996" s="77"/>
      <c r="E996" s="78"/>
      <c r="F996" s="77"/>
      <c r="G996" s="77"/>
      <c r="H996" s="79" t="n">
        <f aca="false">N(H995)+IFERROR(IF(AND($A996&lt;&gt;"",$E996&lt;&gt;"",$A996&gt;=IF(Search!$E$4="",0,Search!$E$4),$A996&lt;=IF(Search!$E$5="",99999,Search!$E$5),OR(Search!$E$6="",ISNUMBER(SEARCH(Search!$E$6,$C996))),OR(Search!$E$7="All",Search!$E$7="",$D996=Search!$E$7),OR(Search!$E$8="",Search!$E$9="",AND($B996&lt;&gt;"",MOD($B996,1)&gt;=Search!$E$8,MOD($B996,1)&lt;=Search!$E$9))),1,0),0)</f>
        <v>0</v>
      </c>
      <c r="I996" s="79" t="n">
        <f aca="false">IF(H996&gt;N(H995),$E996,0)</f>
        <v>0</v>
      </c>
      <c r="J996" s="79" t="n">
        <f aca="false">IFERROR(IF(AND($A996&lt;&gt;"",$E996&lt;&gt;"",$A996&gt;=PeriodStart,$A996&lt;=PeriodEnd),$E996+ROW()/1000000,0),0)</f>
        <v>0</v>
      </c>
    </row>
    <row r="997" customFormat="false" ht="15" hidden="false" customHeight="false" outlineLevel="0" collapsed="false">
      <c r="A997" s="75"/>
      <c r="B997" s="76"/>
      <c r="C997" s="77"/>
      <c r="D997" s="77"/>
      <c r="E997" s="78"/>
      <c r="F997" s="77"/>
      <c r="G997" s="77"/>
      <c r="H997" s="79" t="n">
        <f aca="false">N(H996)+IFERROR(IF(AND($A997&lt;&gt;"",$E997&lt;&gt;"",$A997&gt;=IF(Search!$E$4="",0,Search!$E$4),$A997&lt;=IF(Search!$E$5="",99999,Search!$E$5),OR(Search!$E$6="",ISNUMBER(SEARCH(Search!$E$6,$C997))),OR(Search!$E$7="All",Search!$E$7="",$D997=Search!$E$7),OR(Search!$E$8="",Search!$E$9="",AND($B997&lt;&gt;"",MOD($B997,1)&gt;=Search!$E$8,MOD($B997,1)&lt;=Search!$E$9))),1,0),0)</f>
        <v>0</v>
      </c>
      <c r="I997" s="79" t="n">
        <f aca="false">IF(H997&gt;N(H996),$E997,0)</f>
        <v>0</v>
      </c>
      <c r="J997" s="79" t="n">
        <f aca="false">IFERROR(IF(AND($A997&lt;&gt;"",$E997&lt;&gt;"",$A997&gt;=PeriodStart,$A997&lt;=PeriodEnd),$E997+ROW()/1000000,0),0)</f>
        <v>0</v>
      </c>
    </row>
    <row r="998" customFormat="false" ht="15" hidden="false" customHeight="false" outlineLevel="0" collapsed="false">
      <c r="A998" s="75"/>
      <c r="B998" s="76"/>
      <c r="C998" s="77"/>
      <c r="D998" s="77"/>
      <c r="E998" s="78"/>
      <c r="F998" s="77"/>
      <c r="G998" s="77"/>
      <c r="H998" s="79" t="n">
        <f aca="false">N(H997)+IFERROR(IF(AND($A998&lt;&gt;"",$E998&lt;&gt;"",$A998&gt;=IF(Search!$E$4="",0,Search!$E$4),$A998&lt;=IF(Search!$E$5="",99999,Search!$E$5),OR(Search!$E$6="",ISNUMBER(SEARCH(Search!$E$6,$C998))),OR(Search!$E$7="All",Search!$E$7="",$D998=Search!$E$7),OR(Search!$E$8="",Search!$E$9="",AND($B998&lt;&gt;"",MOD($B998,1)&gt;=Search!$E$8,MOD($B998,1)&lt;=Search!$E$9))),1,0),0)</f>
        <v>0</v>
      </c>
      <c r="I998" s="79" t="n">
        <f aca="false">IF(H998&gt;N(H997),$E998,0)</f>
        <v>0</v>
      </c>
      <c r="J998" s="79" t="n">
        <f aca="false">IFERROR(IF(AND($A998&lt;&gt;"",$E998&lt;&gt;"",$A998&gt;=PeriodStart,$A998&lt;=PeriodEnd),$E998+ROW()/1000000,0),0)</f>
        <v>0</v>
      </c>
    </row>
    <row r="999" customFormat="false" ht="15" hidden="false" customHeight="false" outlineLevel="0" collapsed="false">
      <c r="A999" s="75"/>
      <c r="B999" s="76"/>
      <c r="C999" s="77"/>
      <c r="D999" s="77"/>
      <c r="E999" s="78"/>
      <c r="F999" s="77"/>
      <c r="G999" s="77"/>
      <c r="H999" s="79" t="n">
        <f aca="false">N(H998)+IFERROR(IF(AND($A999&lt;&gt;"",$E999&lt;&gt;"",$A999&gt;=IF(Search!$E$4="",0,Search!$E$4),$A999&lt;=IF(Search!$E$5="",99999,Search!$E$5),OR(Search!$E$6="",ISNUMBER(SEARCH(Search!$E$6,$C999))),OR(Search!$E$7="All",Search!$E$7="",$D999=Search!$E$7),OR(Search!$E$8="",Search!$E$9="",AND($B999&lt;&gt;"",MOD($B999,1)&gt;=Search!$E$8,MOD($B999,1)&lt;=Search!$E$9))),1,0),0)</f>
        <v>0</v>
      </c>
      <c r="I999" s="79" t="n">
        <f aca="false">IF(H999&gt;N(H998),$E999,0)</f>
        <v>0</v>
      </c>
      <c r="J999" s="79" t="n">
        <f aca="false">IFERROR(IF(AND($A999&lt;&gt;"",$E999&lt;&gt;"",$A999&gt;=PeriodStart,$A999&lt;=PeriodEnd),$E999+ROW()/1000000,0),0)</f>
        <v>0</v>
      </c>
    </row>
    <row r="1000" customFormat="false" ht="15" hidden="false" customHeight="false" outlineLevel="0" collapsed="false">
      <c r="A1000" s="75"/>
      <c r="B1000" s="76"/>
      <c r="C1000" s="77"/>
      <c r="D1000" s="77"/>
      <c r="E1000" s="78"/>
      <c r="F1000" s="77"/>
      <c r="G1000" s="77"/>
      <c r="H1000" s="79" t="n">
        <f aca="false">N(H999)+IFERROR(IF(AND($A1000&lt;&gt;"",$E1000&lt;&gt;"",$A1000&gt;=IF(Search!$E$4="",0,Search!$E$4),$A1000&lt;=IF(Search!$E$5="",99999,Search!$E$5),OR(Search!$E$6="",ISNUMBER(SEARCH(Search!$E$6,$C1000))),OR(Search!$E$7="All",Search!$E$7="",$D1000=Search!$E$7),OR(Search!$E$8="",Search!$E$9="",AND($B1000&lt;&gt;"",MOD($B1000,1)&gt;=Search!$E$8,MOD($B1000,1)&lt;=Search!$E$9))),1,0),0)</f>
        <v>0</v>
      </c>
      <c r="I1000" s="79" t="n">
        <f aca="false">IF(H1000&gt;N(H999),$E1000,0)</f>
        <v>0</v>
      </c>
      <c r="J1000" s="79" t="n">
        <f aca="false">IFERROR(IF(AND($A1000&lt;&gt;"",$E1000&lt;&gt;"",$A1000&gt;=PeriodStart,$A1000&lt;=PeriodEnd),$E1000+ROW()/1000000,0),0)</f>
        <v>0</v>
      </c>
    </row>
    <row r="1001" customFormat="false" ht="15" hidden="false" customHeight="false" outlineLevel="0" collapsed="false">
      <c r="A1001" s="75"/>
      <c r="B1001" s="76"/>
      <c r="C1001" s="77"/>
      <c r="D1001" s="77"/>
      <c r="E1001" s="78"/>
      <c r="F1001" s="77"/>
      <c r="G1001" s="77"/>
      <c r="H1001" s="79" t="n">
        <f aca="false">N(H1000)+IFERROR(IF(AND($A1001&lt;&gt;"",$E1001&lt;&gt;"",$A1001&gt;=IF(Search!$E$4="",0,Search!$E$4),$A1001&lt;=IF(Search!$E$5="",99999,Search!$E$5),OR(Search!$E$6="",ISNUMBER(SEARCH(Search!$E$6,$C1001))),OR(Search!$E$7="All",Search!$E$7="",$D1001=Search!$E$7),OR(Search!$E$8="",Search!$E$9="",AND($B1001&lt;&gt;"",MOD($B1001,1)&gt;=Search!$E$8,MOD($B1001,1)&lt;=Search!$E$9))),1,0),0)</f>
        <v>0</v>
      </c>
      <c r="I1001" s="79" t="n">
        <f aca="false">IF(H1001&gt;N(H1000),$E1001,0)</f>
        <v>0</v>
      </c>
      <c r="J1001" s="79" t="n">
        <f aca="false">IFERROR(IF(AND($A1001&lt;&gt;"",$E1001&lt;&gt;"",$A1001&gt;=PeriodStart,$A1001&lt;=PeriodEnd),$E1001+ROW()/1000000,0),0)</f>
        <v>0</v>
      </c>
    </row>
    <row r="1002" customFormat="false" ht="15" hidden="false" customHeight="false" outlineLevel="0" collapsed="false">
      <c r="A1002" s="75"/>
      <c r="B1002" s="76"/>
      <c r="C1002" s="77"/>
      <c r="D1002" s="77"/>
      <c r="E1002" s="78"/>
      <c r="F1002" s="77"/>
      <c r="G1002" s="77"/>
      <c r="H1002" s="79" t="n">
        <f aca="false">N(H1001)+IFERROR(IF(AND($A1002&lt;&gt;"",$E1002&lt;&gt;"",$A1002&gt;=IF(Search!$E$4="",0,Search!$E$4),$A1002&lt;=IF(Search!$E$5="",99999,Search!$E$5),OR(Search!$E$6="",ISNUMBER(SEARCH(Search!$E$6,$C1002))),OR(Search!$E$7="All",Search!$E$7="",$D1002=Search!$E$7),OR(Search!$E$8="",Search!$E$9="",AND($B1002&lt;&gt;"",MOD($B1002,1)&gt;=Search!$E$8,MOD($B1002,1)&lt;=Search!$E$9))),1,0),0)</f>
        <v>0</v>
      </c>
      <c r="I1002" s="79" t="n">
        <f aca="false">IF(H1002&gt;N(H1001),$E1002,0)</f>
        <v>0</v>
      </c>
      <c r="J1002" s="79" t="n">
        <f aca="false">IFERROR(IF(AND($A1002&lt;&gt;"",$E1002&lt;&gt;"",$A1002&gt;=PeriodStart,$A1002&lt;=PeriodEnd),$E1002+ROW()/1000000,0),0)</f>
        <v>0</v>
      </c>
    </row>
    <row r="1003" customFormat="false" ht="15" hidden="false" customHeight="false" outlineLevel="0" collapsed="false">
      <c r="A1003" s="75"/>
      <c r="B1003" s="76"/>
      <c r="C1003" s="77"/>
      <c r="D1003" s="77"/>
      <c r="E1003" s="78"/>
      <c r="F1003" s="77"/>
      <c r="G1003" s="77"/>
      <c r="H1003" s="79" t="n">
        <f aca="false">N(H1002)+IFERROR(IF(AND($A1003&lt;&gt;"",$E1003&lt;&gt;"",$A1003&gt;=IF(Search!$E$4="",0,Search!$E$4),$A1003&lt;=IF(Search!$E$5="",99999,Search!$E$5),OR(Search!$E$6="",ISNUMBER(SEARCH(Search!$E$6,$C1003))),OR(Search!$E$7="All",Search!$E$7="",$D1003=Search!$E$7),OR(Search!$E$8="",Search!$E$9="",AND($B1003&lt;&gt;"",MOD($B1003,1)&gt;=Search!$E$8,MOD($B1003,1)&lt;=Search!$E$9))),1,0),0)</f>
        <v>0</v>
      </c>
      <c r="I1003" s="79" t="n">
        <f aca="false">IF(H1003&gt;N(H1002),$E1003,0)</f>
        <v>0</v>
      </c>
      <c r="J1003" s="79" t="n">
        <f aca="false">IFERROR(IF(AND($A1003&lt;&gt;"",$E1003&lt;&gt;"",$A1003&gt;=PeriodStart,$A1003&lt;=PeriodEnd),$E1003+ROW()/1000000,0),0)</f>
        <v>0</v>
      </c>
    </row>
    <row r="1004" customFormat="false" ht="15" hidden="false" customHeight="false" outlineLevel="0" collapsed="false">
      <c r="A1004" s="75"/>
      <c r="B1004" s="76"/>
      <c r="C1004" s="77"/>
      <c r="D1004" s="77"/>
      <c r="E1004" s="78"/>
      <c r="F1004" s="77"/>
      <c r="G1004" s="77"/>
      <c r="H1004" s="79" t="n">
        <f aca="false">N(H1003)+IFERROR(IF(AND($A1004&lt;&gt;"",$E1004&lt;&gt;"",$A1004&gt;=IF(Search!$E$4="",0,Search!$E$4),$A1004&lt;=IF(Search!$E$5="",99999,Search!$E$5),OR(Search!$E$6="",ISNUMBER(SEARCH(Search!$E$6,$C1004))),OR(Search!$E$7="All",Search!$E$7="",$D1004=Search!$E$7),OR(Search!$E$8="",Search!$E$9="",AND($B1004&lt;&gt;"",MOD($B1004,1)&gt;=Search!$E$8,MOD($B1004,1)&lt;=Search!$E$9))),1,0),0)</f>
        <v>0</v>
      </c>
      <c r="I1004" s="79" t="n">
        <f aca="false">IF(H1004&gt;N(H1003),$E1004,0)</f>
        <v>0</v>
      </c>
      <c r="J1004" s="79" t="n">
        <f aca="false">IFERROR(IF(AND($A1004&lt;&gt;"",$E1004&lt;&gt;"",$A1004&gt;=PeriodStart,$A1004&lt;=PeriodEnd),$E1004+ROW()/1000000,0),0)</f>
        <v>0</v>
      </c>
    </row>
  </sheetData>
  <autoFilter ref="A4:G5004"/>
  <mergeCells count="2">
    <mergeCell ref="A1:G1"/>
    <mergeCell ref="A2:G2"/>
  </mergeCells>
  <dataValidations count="5">
    <dataValidation allowBlank="true" error="Enter the amount as a positive number." errorStyle="stop" errorTitle="Amount" operator="greaterThanOrEqual" showDropDown="false" showErrorMessage="true" showInputMessage="false" sqref="E5:E1004" type="decimal">
      <formula1>0</formula1>
      <formula2>0</formula2>
    </dataValidation>
    <dataValidation allowBlank="true" error="Please enter a valid date, e.g. 26-Oct-2026 (or press Ctrl+;)." errorStyle="warning" errorTitle="Check the date" operator="greaterThan" showDropDown="false" showErrorMessage="true" showInputMessage="false" sqref="A5:A1004" type="date">
      <formula1>36526</formula1>
      <formula2>0</formula2>
    </dataValidation>
    <dataValidation allowBlank="true" error="Please enter a time such as 1:15 PM or 13:15 (or press Ctrl+Shift+;)." errorStyle="warning" errorTitle="Check the time" operator="between" showDropDown="false" showErrorMessage="true" showInputMessage="false" sqref="B5:B1004" type="time">
      <formula1>0</formula1>
      <formula2>0.999999</formula2>
    </dataValidation>
    <dataValidation allowBlank="true" error="Please choose a category from the dropdown. You can edit the list on the Settings sheet." errorStyle="stop" errorTitle="Pick from the list" operator="between" showDropDown="false" showErrorMessage="true" showInputMessage="false" sqref="D5:D1004" type="list">
      <formula1>CategoryList</formula1>
      <formula2>0</formula2>
    </dataValidation>
    <dataValidation allowBlank="true" error="Please choose how you paid from the dropdown." errorStyle="stop" errorTitle="Pick from the list" operator="between" showDropDown="false" showErrorMessage="true" showInputMessage="false" sqref="F5:F1004" type="list">
      <formula1>PaymentList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true"/>
  </sheetPr>
  <dimension ref="A1:F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34"/>
  </cols>
  <sheetData>
    <row r="1" customFormat="false" ht="33.75" hidden="false" customHeight="true" outlineLevel="0" collapsed="false">
      <c r="A1" s="68" t="s">
        <v>132</v>
      </c>
      <c r="B1" s="68"/>
      <c r="C1" s="68"/>
      <c r="D1" s="68"/>
      <c r="E1" s="68"/>
      <c r="F1" s="68"/>
    </row>
    <row r="2" customFormat="false" ht="27.75" hidden="false" customHeight="true" outlineLevel="0" collapsed="false">
      <c r="A2" s="69" t="s">
        <v>133</v>
      </c>
      <c r="B2" s="69"/>
      <c r="C2" s="69"/>
      <c r="D2" s="69"/>
      <c r="E2" s="69"/>
      <c r="F2" s="69"/>
    </row>
    <row r="3" customFormat="false" ht="15" hidden="false" customHeight="false" outlineLevel="0" collapsed="false">
      <c r="A3" s="70" t="s">
        <v>134</v>
      </c>
      <c r="B3" s="71" t="n">
        <f aca="false">COUNT(D5:D2004)</f>
        <v>0</v>
      </c>
      <c r="C3" s="72" t="s">
        <v>135</v>
      </c>
      <c r="D3" s="73" t="n">
        <f aca="false">SUM(D5:D2004)</f>
        <v>0</v>
      </c>
    </row>
    <row r="4" customFormat="false" ht="25.5" hidden="false" customHeight="true" outlineLevel="0" collapsed="false">
      <c r="A4" s="22" t="s">
        <v>37</v>
      </c>
      <c r="B4" s="22" t="s">
        <v>136</v>
      </c>
      <c r="C4" s="22" t="s">
        <v>137</v>
      </c>
      <c r="D4" s="22" t="s">
        <v>40</v>
      </c>
      <c r="E4" s="22" t="s">
        <v>138</v>
      </c>
      <c r="F4" s="22" t="s">
        <v>128</v>
      </c>
    </row>
    <row r="5" customFormat="false" ht="15" hidden="false" customHeight="false" outlineLevel="0" collapsed="false">
      <c r="A5" s="75"/>
      <c r="B5" s="77"/>
      <c r="C5" s="77"/>
      <c r="D5" s="78"/>
      <c r="E5" s="77"/>
      <c r="F5" s="77"/>
    </row>
    <row r="6" customFormat="false" ht="15" hidden="false" customHeight="false" outlineLevel="0" collapsed="false">
      <c r="A6" s="75"/>
      <c r="B6" s="77"/>
      <c r="C6" s="77"/>
      <c r="D6" s="78"/>
      <c r="E6" s="77"/>
      <c r="F6" s="77"/>
    </row>
    <row r="7" customFormat="false" ht="15" hidden="false" customHeight="false" outlineLevel="0" collapsed="false">
      <c r="A7" s="75"/>
      <c r="B7" s="77"/>
      <c r="C7" s="77"/>
      <c r="D7" s="78"/>
      <c r="E7" s="77"/>
      <c r="F7" s="77"/>
    </row>
    <row r="8" customFormat="false" ht="15" hidden="false" customHeight="false" outlineLevel="0" collapsed="false">
      <c r="A8" s="75"/>
      <c r="B8" s="77"/>
      <c r="C8" s="77"/>
      <c r="D8" s="78"/>
      <c r="E8" s="77"/>
      <c r="F8" s="77"/>
    </row>
    <row r="9" customFormat="false" ht="15" hidden="false" customHeight="false" outlineLevel="0" collapsed="false">
      <c r="A9" s="75"/>
      <c r="B9" s="77"/>
      <c r="C9" s="77"/>
      <c r="D9" s="78"/>
      <c r="E9" s="77"/>
      <c r="F9" s="77"/>
    </row>
    <row r="10" customFormat="false" ht="15" hidden="false" customHeight="false" outlineLevel="0" collapsed="false">
      <c r="A10" s="75"/>
      <c r="B10" s="77"/>
      <c r="C10" s="77"/>
      <c r="D10" s="78"/>
      <c r="E10" s="77"/>
      <c r="F10" s="77"/>
    </row>
    <row r="11" customFormat="false" ht="15" hidden="false" customHeight="false" outlineLevel="0" collapsed="false">
      <c r="A11" s="75"/>
      <c r="B11" s="77"/>
      <c r="C11" s="77"/>
      <c r="D11" s="78"/>
      <c r="E11" s="77"/>
      <c r="F11" s="77"/>
    </row>
    <row r="12" customFormat="false" ht="15" hidden="false" customHeight="false" outlineLevel="0" collapsed="false">
      <c r="A12" s="75"/>
      <c r="B12" s="77"/>
      <c r="C12" s="77"/>
      <c r="D12" s="78"/>
      <c r="E12" s="77"/>
      <c r="F12" s="77"/>
    </row>
    <row r="13" customFormat="false" ht="15" hidden="false" customHeight="false" outlineLevel="0" collapsed="false">
      <c r="A13" s="75"/>
      <c r="B13" s="77"/>
      <c r="C13" s="77"/>
      <c r="D13" s="78"/>
      <c r="E13" s="77"/>
      <c r="F13" s="77"/>
    </row>
    <row r="14" customFormat="false" ht="15" hidden="false" customHeight="false" outlineLevel="0" collapsed="false">
      <c r="A14" s="75"/>
      <c r="B14" s="77"/>
      <c r="C14" s="77"/>
      <c r="D14" s="78"/>
      <c r="E14" s="77"/>
      <c r="F14" s="77"/>
    </row>
    <row r="15" customFormat="false" ht="15" hidden="false" customHeight="false" outlineLevel="0" collapsed="false">
      <c r="A15" s="75"/>
      <c r="B15" s="77"/>
      <c r="C15" s="77"/>
      <c r="D15" s="78"/>
      <c r="E15" s="77"/>
      <c r="F15" s="77"/>
    </row>
    <row r="16" customFormat="false" ht="15" hidden="false" customHeight="false" outlineLevel="0" collapsed="false">
      <c r="A16" s="75"/>
      <c r="B16" s="77"/>
      <c r="C16" s="77"/>
      <c r="D16" s="78"/>
      <c r="E16" s="77"/>
      <c r="F16" s="77"/>
    </row>
    <row r="17" customFormat="false" ht="15" hidden="false" customHeight="false" outlineLevel="0" collapsed="false">
      <c r="A17" s="75"/>
      <c r="B17" s="77"/>
      <c r="C17" s="77"/>
      <c r="D17" s="78"/>
      <c r="E17" s="77"/>
      <c r="F17" s="77"/>
    </row>
    <row r="18" customFormat="false" ht="15" hidden="false" customHeight="false" outlineLevel="0" collapsed="false">
      <c r="A18" s="75"/>
      <c r="B18" s="77"/>
      <c r="C18" s="77"/>
      <c r="D18" s="78"/>
      <c r="E18" s="77"/>
      <c r="F18" s="77"/>
    </row>
    <row r="19" customFormat="false" ht="15" hidden="false" customHeight="false" outlineLevel="0" collapsed="false">
      <c r="A19" s="75"/>
      <c r="B19" s="77"/>
      <c r="C19" s="77"/>
      <c r="D19" s="78"/>
      <c r="E19" s="77"/>
      <c r="F19" s="77"/>
    </row>
    <row r="20" customFormat="false" ht="15" hidden="false" customHeight="false" outlineLevel="0" collapsed="false">
      <c r="A20" s="75"/>
      <c r="B20" s="77"/>
      <c r="C20" s="77"/>
      <c r="D20" s="78"/>
      <c r="E20" s="77"/>
      <c r="F20" s="77"/>
    </row>
    <row r="21" customFormat="false" ht="15" hidden="false" customHeight="false" outlineLevel="0" collapsed="false">
      <c r="A21" s="75"/>
      <c r="B21" s="77"/>
      <c r="C21" s="77"/>
      <c r="D21" s="78"/>
      <c r="E21" s="77"/>
      <c r="F21" s="77"/>
    </row>
    <row r="22" customFormat="false" ht="15" hidden="false" customHeight="false" outlineLevel="0" collapsed="false">
      <c r="A22" s="75"/>
      <c r="B22" s="77"/>
      <c r="C22" s="77"/>
      <c r="D22" s="78"/>
      <c r="E22" s="77"/>
      <c r="F22" s="77"/>
    </row>
    <row r="23" customFormat="false" ht="15" hidden="false" customHeight="false" outlineLevel="0" collapsed="false">
      <c r="A23" s="75"/>
      <c r="B23" s="77"/>
      <c r="C23" s="77"/>
      <c r="D23" s="78"/>
      <c r="E23" s="77"/>
      <c r="F23" s="77"/>
    </row>
    <row r="24" customFormat="false" ht="15" hidden="false" customHeight="false" outlineLevel="0" collapsed="false">
      <c r="A24" s="75"/>
      <c r="B24" s="77"/>
      <c r="C24" s="77"/>
      <c r="D24" s="78"/>
      <c r="E24" s="77"/>
      <c r="F24" s="77"/>
    </row>
    <row r="25" customFormat="false" ht="15" hidden="false" customHeight="false" outlineLevel="0" collapsed="false">
      <c r="A25" s="75"/>
      <c r="B25" s="77"/>
      <c r="C25" s="77"/>
      <c r="D25" s="78"/>
      <c r="E25" s="77"/>
      <c r="F25" s="77"/>
    </row>
    <row r="26" customFormat="false" ht="15" hidden="false" customHeight="false" outlineLevel="0" collapsed="false">
      <c r="A26" s="75"/>
      <c r="B26" s="77"/>
      <c r="C26" s="77"/>
      <c r="D26" s="78"/>
      <c r="E26" s="77"/>
      <c r="F26" s="77"/>
    </row>
    <row r="27" customFormat="false" ht="15" hidden="false" customHeight="false" outlineLevel="0" collapsed="false">
      <c r="A27" s="75"/>
      <c r="B27" s="77"/>
      <c r="C27" s="77"/>
      <c r="D27" s="78"/>
      <c r="E27" s="77"/>
      <c r="F27" s="77"/>
    </row>
    <row r="28" customFormat="false" ht="15" hidden="false" customHeight="false" outlineLevel="0" collapsed="false">
      <c r="A28" s="75"/>
      <c r="B28" s="77"/>
      <c r="C28" s="77"/>
      <c r="D28" s="78"/>
      <c r="E28" s="77"/>
      <c r="F28" s="77"/>
    </row>
    <row r="29" customFormat="false" ht="15" hidden="false" customHeight="false" outlineLevel="0" collapsed="false">
      <c r="A29" s="75"/>
      <c r="B29" s="77"/>
      <c r="C29" s="77"/>
      <c r="D29" s="78"/>
      <c r="E29" s="77"/>
      <c r="F29" s="77"/>
    </row>
    <row r="30" customFormat="false" ht="15" hidden="false" customHeight="false" outlineLevel="0" collapsed="false">
      <c r="A30" s="75"/>
      <c r="B30" s="77"/>
      <c r="C30" s="77"/>
      <c r="D30" s="78"/>
      <c r="E30" s="77"/>
      <c r="F30" s="77"/>
    </row>
    <row r="31" customFormat="false" ht="15" hidden="false" customHeight="false" outlineLevel="0" collapsed="false">
      <c r="A31" s="75"/>
      <c r="B31" s="77"/>
      <c r="C31" s="77"/>
      <c r="D31" s="78"/>
      <c r="E31" s="77"/>
      <c r="F31" s="77"/>
    </row>
    <row r="32" customFormat="false" ht="15" hidden="false" customHeight="false" outlineLevel="0" collapsed="false">
      <c r="A32" s="75"/>
      <c r="B32" s="77"/>
      <c r="C32" s="77"/>
      <c r="D32" s="78"/>
      <c r="E32" s="77"/>
      <c r="F32" s="77"/>
    </row>
    <row r="33" customFormat="false" ht="15" hidden="false" customHeight="false" outlineLevel="0" collapsed="false">
      <c r="A33" s="75"/>
      <c r="B33" s="77"/>
      <c r="C33" s="77"/>
      <c r="D33" s="78"/>
      <c r="E33" s="77"/>
      <c r="F33" s="77"/>
    </row>
    <row r="34" customFormat="false" ht="15" hidden="false" customHeight="false" outlineLevel="0" collapsed="false">
      <c r="A34" s="75"/>
      <c r="B34" s="77"/>
      <c r="C34" s="77"/>
      <c r="D34" s="78"/>
      <c r="E34" s="77"/>
      <c r="F34" s="77"/>
    </row>
    <row r="35" customFormat="false" ht="15" hidden="false" customHeight="false" outlineLevel="0" collapsed="false">
      <c r="A35" s="75"/>
      <c r="B35" s="77"/>
      <c r="C35" s="77"/>
      <c r="D35" s="78"/>
      <c r="E35" s="77"/>
      <c r="F35" s="77"/>
    </row>
    <row r="36" customFormat="false" ht="15" hidden="false" customHeight="false" outlineLevel="0" collapsed="false">
      <c r="A36" s="75"/>
      <c r="B36" s="77"/>
      <c r="C36" s="77"/>
      <c r="D36" s="78"/>
      <c r="E36" s="77"/>
      <c r="F36" s="77"/>
    </row>
    <row r="37" customFormat="false" ht="15" hidden="false" customHeight="false" outlineLevel="0" collapsed="false">
      <c r="A37" s="75"/>
      <c r="B37" s="77"/>
      <c r="C37" s="77"/>
      <c r="D37" s="78"/>
      <c r="E37" s="77"/>
      <c r="F37" s="77"/>
    </row>
    <row r="38" customFormat="false" ht="15" hidden="false" customHeight="false" outlineLevel="0" collapsed="false">
      <c r="A38" s="75"/>
      <c r="B38" s="77"/>
      <c r="C38" s="77"/>
      <c r="D38" s="78"/>
      <c r="E38" s="77"/>
      <c r="F38" s="77"/>
    </row>
    <row r="39" customFormat="false" ht="15" hidden="false" customHeight="false" outlineLevel="0" collapsed="false">
      <c r="A39" s="75"/>
      <c r="B39" s="77"/>
      <c r="C39" s="77"/>
      <c r="D39" s="78"/>
      <c r="E39" s="77"/>
      <c r="F39" s="77"/>
    </row>
    <row r="40" customFormat="false" ht="15" hidden="false" customHeight="false" outlineLevel="0" collapsed="false">
      <c r="A40" s="75"/>
      <c r="B40" s="77"/>
      <c r="C40" s="77"/>
      <c r="D40" s="78"/>
      <c r="E40" s="77"/>
      <c r="F40" s="77"/>
    </row>
    <row r="41" customFormat="false" ht="15" hidden="false" customHeight="false" outlineLevel="0" collapsed="false">
      <c r="A41" s="75"/>
      <c r="B41" s="77"/>
      <c r="C41" s="77"/>
      <c r="D41" s="78"/>
      <c r="E41" s="77"/>
      <c r="F41" s="77"/>
    </row>
    <row r="42" customFormat="false" ht="15" hidden="false" customHeight="false" outlineLevel="0" collapsed="false">
      <c r="A42" s="75"/>
      <c r="B42" s="77"/>
      <c r="C42" s="77"/>
      <c r="D42" s="78"/>
      <c r="E42" s="77"/>
      <c r="F42" s="77"/>
    </row>
    <row r="43" customFormat="false" ht="15" hidden="false" customHeight="false" outlineLevel="0" collapsed="false">
      <c r="A43" s="75"/>
      <c r="B43" s="77"/>
      <c r="C43" s="77"/>
      <c r="D43" s="78"/>
      <c r="E43" s="77"/>
      <c r="F43" s="77"/>
    </row>
    <row r="44" customFormat="false" ht="15" hidden="false" customHeight="false" outlineLevel="0" collapsed="false">
      <c r="A44" s="75"/>
      <c r="B44" s="77"/>
      <c r="C44" s="77"/>
      <c r="D44" s="78"/>
      <c r="E44" s="77"/>
      <c r="F44" s="77"/>
    </row>
    <row r="45" customFormat="false" ht="15" hidden="false" customHeight="false" outlineLevel="0" collapsed="false">
      <c r="A45" s="75"/>
      <c r="B45" s="77"/>
      <c r="C45" s="77"/>
      <c r="D45" s="78"/>
      <c r="E45" s="77"/>
      <c r="F45" s="77"/>
    </row>
    <row r="46" customFormat="false" ht="15" hidden="false" customHeight="false" outlineLevel="0" collapsed="false">
      <c r="A46" s="75"/>
      <c r="B46" s="77"/>
      <c r="C46" s="77"/>
      <c r="D46" s="78"/>
      <c r="E46" s="77"/>
      <c r="F46" s="77"/>
    </row>
    <row r="47" customFormat="false" ht="15" hidden="false" customHeight="false" outlineLevel="0" collapsed="false">
      <c r="A47" s="75"/>
      <c r="B47" s="77"/>
      <c r="C47" s="77"/>
      <c r="D47" s="78"/>
      <c r="E47" s="77"/>
      <c r="F47" s="77"/>
    </row>
    <row r="48" customFormat="false" ht="15" hidden="false" customHeight="false" outlineLevel="0" collapsed="false">
      <c r="A48" s="75"/>
      <c r="B48" s="77"/>
      <c r="C48" s="77"/>
      <c r="D48" s="78"/>
      <c r="E48" s="77"/>
      <c r="F48" s="77"/>
    </row>
    <row r="49" customFormat="false" ht="15" hidden="false" customHeight="false" outlineLevel="0" collapsed="false">
      <c r="A49" s="75"/>
      <c r="B49" s="77"/>
      <c r="C49" s="77"/>
      <c r="D49" s="78"/>
      <c r="E49" s="77"/>
      <c r="F49" s="77"/>
    </row>
    <row r="50" customFormat="false" ht="15" hidden="false" customHeight="false" outlineLevel="0" collapsed="false">
      <c r="A50" s="75"/>
      <c r="B50" s="77"/>
      <c r="C50" s="77"/>
      <c r="D50" s="78"/>
      <c r="E50" s="77"/>
      <c r="F50" s="77"/>
    </row>
    <row r="51" customFormat="false" ht="15" hidden="false" customHeight="false" outlineLevel="0" collapsed="false">
      <c r="A51" s="75"/>
      <c r="B51" s="77"/>
      <c r="C51" s="77"/>
      <c r="D51" s="78"/>
      <c r="E51" s="77"/>
      <c r="F51" s="77"/>
    </row>
    <row r="52" customFormat="false" ht="15" hidden="false" customHeight="false" outlineLevel="0" collapsed="false">
      <c r="A52" s="75"/>
      <c r="B52" s="77"/>
      <c r="C52" s="77"/>
      <c r="D52" s="78"/>
      <c r="E52" s="77"/>
      <c r="F52" s="77"/>
    </row>
    <row r="53" customFormat="false" ht="15" hidden="false" customHeight="false" outlineLevel="0" collapsed="false">
      <c r="A53" s="75"/>
      <c r="B53" s="77"/>
      <c r="C53" s="77"/>
      <c r="D53" s="78"/>
      <c r="E53" s="77"/>
      <c r="F53" s="77"/>
    </row>
    <row r="54" customFormat="false" ht="15" hidden="false" customHeight="false" outlineLevel="0" collapsed="false">
      <c r="A54" s="75"/>
      <c r="B54" s="77"/>
      <c r="C54" s="77"/>
      <c r="D54" s="78"/>
      <c r="E54" s="77"/>
      <c r="F54" s="77"/>
    </row>
    <row r="55" customFormat="false" ht="15" hidden="false" customHeight="false" outlineLevel="0" collapsed="false">
      <c r="A55" s="75"/>
      <c r="B55" s="77"/>
      <c r="C55" s="77"/>
      <c r="D55" s="78"/>
      <c r="E55" s="77"/>
      <c r="F55" s="77"/>
    </row>
    <row r="56" customFormat="false" ht="15" hidden="false" customHeight="false" outlineLevel="0" collapsed="false">
      <c r="A56" s="75"/>
      <c r="B56" s="77"/>
      <c r="C56" s="77"/>
      <c r="D56" s="78"/>
      <c r="E56" s="77"/>
      <c r="F56" s="77"/>
    </row>
    <row r="57" customFormat="false" ht="15" hidden="false" customHeight="false" outlineLevel="0" collapsed="false">
      <c r="A57" s="75"/>
      <c r="B57" s="77"/>
      <c r="C57" s="77"/>
      <c r="D57" s="78"/>
      <c r="E57" s="77"/>
      <c r="F57" s="77"/>
    </row>
    <row r="58" customFormat="false" ht="15" hidden="false" customHeight="false" outlineLevel="0" collapsed="false">
      <c r="A58" s="75"/>
      <c r="B58" s="77"/>
      <c r="C58" s="77"/>
      <c r="D58" s="78"/>
      <c r="E58" s="77"/>
      <c r="F58" s="77"/>
    </row>
    <row r="59" customFormat="false" ht="15" hidden="false" customHeight="false" outlineLevel="0" collapsed="false">
      <c r="A59" s="75"/>
      <c r="B59" s="77"/>
      <c r="C59" s="77"/>
      <c r="D59" s="78"/>
      <c r="E59" s="77"/>
      <c r="F59" s="77"/>
    </row>
    <row r="60" customFormat="false" ht="15" hidden="false" customHeight="false" outlineLevel="0" collapsed="false">
      <c r="A60" s="75"/>
      <c r="B60" s="77"/>
      <c r="C60" s="77"/>
      <c r="D60" s="78"/>
      <c r="E60" s="77"/>
      <c r="F60" s="77"/>
    </row>
    <row r="61" customFormat="false" ht="15" hidden="false" customHeight="false" outlineLevel="0" collapsed="false">
      <c r="A61" s="75"/>
      <c r="B61" s="77"/>
      <c r="C61" s="77"/>
      <c r="D61" s="78"/>
      <c r="E61" s="77"/>
      <c r="F61" s="77"/>
    </row>
    <row r="62" customFormat="false" ht="15" hidden="false" customHeight="false" outlineLevel="0" collapsed="false">
      <c r="A62" s="75"/>
      <c r="B62" s="77"/>
      <c r="C62" s="77"/>
      <c r="D62" s="78"/>
      <c r="E62" s="77"/>
      <c r="F62" s="77"/>
    </row>
    <row r="63" customFormat="false" ht="15" hidden="false" customHeight="false" outlineLevel="0" collapsed="false">
      <c r="A63" s="75"/>
      <c r="B63" s="77"/>
      <c r="C63" s="77"/>
      <c r="D63" s="78"/>
      <c r="E63" s="77"/>
      <c r="F63" s="77"/>
    </row>
    <row r="64" customFormat="false" ht="15" hidden="false" customHeight="false" outlineLevel="0" collapsed="false">
      <c r="A64" s="75"/>
      <c r="B64" s="77"/>
      <c r="C64" s="77"/>
      <c r="D64" s="78"/>
      <c r="E64" s="77"/>
      <c r="F64" s="77"/>
    </row>
    <row r="65" customFormat="false" ht="15" hidden="false" customHeight="false" outlineLevel="0" collapsed="false">
      <c r="A65" s="75"/>
      <c r="B65" s="77"/>
      <c r="C65" s="77"/>
      <c r="D65" s="78"/>
      <c r="E65" s="77"/>
      <c r="F65" s="77"/>
    </row>
    <row r="66" customFormat="false" ht="15" hidden="false" customHeight="false" outlineLevel="0" collapsed="false">
      <c r="A66" s="75"/>
      <c r="B66" s="77"/>
      <c r="C66" s="77"/>
      <c r="D66" s="78"/>
      <c r="E66" s="77"/>
      <c r="F66" s="77"/>
    </row>
    <row r="67" customFormat="false" ht="15" hidden="false" customHeight="false" outlineLevel="0" collapsed="false">
      <c r="A67" s="75"/>
      <c r="B67" s="77"/>
      <c r="C67" s="77"/>
      <c r="D67" s="78"/>
      <c r="E67" s="77"/>
      <c r="F67" s="77"/>
    </row>
    <row r="68" customFormat="false" ht="15" hidden="false" customHeight="false" outlineLevel="0" collapsed="false">
      <c r="A68" s="75"/>
      <c r="B68" s="77"/>
      <c r="C68" s="77"/>
      <c r="D68" s="78"/>
      <c r="E68" s="77"/>
      <c r="F68" s="77"/>
    </row>
    <row r="69" customFormat="false" ht="15" hidden="false" customHeight="false" outlineLevel="0" collapsed="false">
      <c r="A69" s="75"/>
      <c r="B69" s="77"/>
      <c r="C69" s="77"/>
      <c r="D69" s="78"/>
      <c r="E69" s="77"/>
      <c r="F69" s="77"/>
    </row>
    <row r="70" customFormat="false" ht="15" hidden="false" customHeight="false" outlineLevel="0" collapsed="false">
      <c r="A70" s="75"/>
      <c r="B70" s="77"/>
      <c r="C70" s="77"/>
      <c r="D70" s="78"/>
      <c r="E70" s="77"/>
      <c r="F70" s="77"/>
    </row>
    <row r="71" customFormat="false" ht="15" hidden="false" customHeight="false" outlineLevel="0" collapsed="false">
      <c r="A71" s="75"/>
      <c r="B71" s="77"/>
      <c r="C71" s="77"/>
      <c r="D71" s="78"/>
      <c r="E71" s="77"/>
      <c r="F71" s="77"/>
    </row>
    <row r="72" customFormat="false" ht="15" hidden="false" customHeight="false" outlineLevel="0" collapsed="false">
      <c r="A72" s="75"/>
      <c r="B72" s="77"/>
      <c r="C72" s="77"/>
      <c r="D72" s="78"/>
      <c r="E72" s="77"/>
      <c r="F72" s="77"/>
    </row>
    <row r="73" customFormat="false" ht="15" hidden="false" customHeight="false" outlineLevel="0" collapsed="false">
      <c r="A73" s="75"/>
      <c r="B73" s="77"/>
      <c r="C73" s="77"/>
      <c r="D73" s="78"/>
      <c r="E73" s="77"/>
      <c r="F73" s="77"/>
    </row>
    <row r="74" customFormat="false" ht="15" hidden="false" customHeight="false" outlineLevel="0" collapsed="false">
      <c r="A74" s="75"/>
      <c r="B74" s="77"/>
      <c r="C74" s="77"/>
      <c r="D74" s="78"/>
      <c r="E74" s="77"/>
      <c r="F74" s="77"/>
    </row>
    <row r="75" customFormat="false" ht="15" hidden="false" customHeight="false" outlineLevel="0" collapsed="false">
      <c r="A75" s="75"/>
      <c r="B75" s="77"/>
      <c r="C75" s="77"/>
      <c r="D75" s="78"/>
      <c r="E75" s="77"/>
      <c r="F75" s="77"/>
    </row>
    <row r="76" customFormat="false" ht="15" hidden="false" customHeight="false" outlineLevel="0" collapsed="false">
      <c r="A76" s="75"/>
      <c r="B76" s="77"/>
      <c r="C76" s="77"/>
      <c r="D76" s="78"/>
      <c r="E76" s="77"/>
      <c r="F76" s="77"/>
    </row>
    <row r="77" customFormat="false" ht="15" hidden="false" customHeight="false" outlineLevel="0" collapsed="false">
      <c r="A77" s="75"/>
      <c r="B77" s="77"/>
      <c r="C77" s="77"/>
      <c r="D77" s="78"/>
      <c r="E77" s="77"/>
      <c r="F77" s="77"/>
    </row>
    <row r="78" customFormat="false" ht="15" hidden="false" customHeight="false" outlineLevel="0" collapsed="false">
      <c r="A78" s="75"/>
      <c r="B78" s="77"/>
      <c r="C78" s="77"/>
      <c r="D78" s="78"/>
      <c r="E78" s="77"/>
      <c r="F78" s="77"/>
    </row>
    <row r="79" customFormat="false" ht="15" hidden="false" customHeight="false" outlineLevel="0" collapsed="false">
      <c r="A79" s="75"/>
      <c r="B79" s="77"/>
      <c r="C79" s="77"/>
      <c r="D79" s="78"/>
      <c r="E79" s="77"/>
      <c r="F79" s="77"/>
    </row>
    <row r="80" customFormat="false" ht="15" hidden="false" customHeight="false" outlineLevel="0" collapsed="false">
      <c r="A80" s="75"/>
      <c r="B80" s="77"/>
      <c r="C80" s="77"/>
      <c r="D80" s="78"/>
      <c r="E80" s="77"/>
      <c r="F80" s="77"/>
    </row>
    <row r="81" customFormat="false" ht="15" hidden="false" customHeight="false" outlineLevel="0" collapsed="false">
      <c r="A81" s="75"/>
      <c r="B81" s="77"/>
      <c r="C81" s="77"/>
      <c r="D81" s="78"/>
      <c r="E81" s="77"/>
      <c r="F81" s="77"/>
    </row>
    <row r="82" customFormat="false" ht="15" hidden="false" customHeight="false" outlineLevel="0" collapsed="false">
      <c r="A82" s="75"/>
      <c r="B82" s="77"/>
      <c r="C82" s="77"/>
      <c r="D82" s="78"/>
      <c r="E82" s="77"/>
      <c r="F82" s="77"/>
    </row>
    <row r="83" customFormat="false" ht="15" hidden="false" customHeight="false" outlineLevel="0" collapsed="false">
      <c r="A83" s="75"/>
      <c r="B83" s="77"/>
      <c r="C83" s="77"/>
      <c r="D83" s="78"/>
      <c r="E83" s="77"/>
      <c r="F83" s="77"/>
    </row>
    <row r="84" customFormat="false" ht="15" hidden="false" customHeight="false" outlineLevel="0" collapsed="false">
      <c r="A84" s="75"/>
      <c r="B84" s="77"/>
      <c r="C84" s="77"/>
      <c r="D84" s="78"/>
      <c r="E84" s="77"/>
      <c r="F84" s="77"/>
    </row>
    <row r="85" customFormat="false" ht="15" hidden="false" customHeight="false" outlineLevel="0" collapsed="false">
      <c r="A85" s="75"/>
      <c r="B85" s="77"/>
      <c r="C85" s="77"/>
      <c r="D85" s="78"/>
      <c r="E85" s="77"/>
      <c r="F85" s="77"/>
    </row>
    <row r="86" customFormat="false" ht="15" hidden="false" customHeight="false" outlineLevel="0" collapsed="false">
      <c r="A86" s="75"/>
      <c r="B86" s="77"/>
      <c r="C86" s="77"/>
      <c r="D86" s="78"/>
      <c r="E86" s="77"/>
      <c r="F86" s="77"/>
    </row>
    <row r="87" customFormat="false" ht="15" hidden="false" customHeight="false" outlineLevel="0" collapsed="false">
      <c r="A87" s="75"/>
      <c r="B87" s="77"/>
      <c r="C87" s="77"/>
      <c r="D87" s="78"/>
      <c r="E87" s="77"/>
      <c r="F87" s="77"/>
    </row>
    <row r="88" customFormat="false" ht="15" hidden="false" customHeight="false" outlineLevel="0" collapsed="false">
      <c r="A88" s="75"/>
      <c r="B88" s="77"/>
      <c r="C88" s="77"/>
      <c r="D88" s="78"/>
      <c r="E88" s="77"/>
      <c r="F88" s="77"/>
    </row>
    <row r="89" customFormat="false" ht="15" hidden="false" customHeight="false" outlineLevel="0" collapsed="false">
      <c r="A89" s="75"/>
      <c r="B89" s="77"/>
      <c r="C89" s="77"/>
      <c r="D89" s="78"/>
      <c r="E89" s="77"/>
      <c r="F89" s="77"/>
    </row>
    <row r="90" customFormat="false" ht="15" hidden="false" customHeight="false" outlineLevel="0" collapsed="false">
      <c r="A90" s="75"/>
      <c r="B90" s="77"/>
      <c r="C90" s="77"/>
      <c r="D90" s="78"/>
      <c r="E90" s="77"/>
      <c r="F90" s="77"/>
    </row>
    <row r="91" customFormat="false" ht="15" hidden="false" customHeight="false" outlineLevel="0" collapsed="false">
      <c r="A91" s="75"/>
      <c r="B91" s="77"/>
      <c r="C91" s="77"/>
      <c r="D91" s="78"/>
      <c r="E91" s="77"/>
      <c r="F91" s="77"/>
    </row>
    <row r="92" customFormat="false" ht="15" hidden="false" customHeight="false" outlineLevel="0" collapsed="false">
      <c r="A92" s="75"/>
      <c r="B92" s="77"/>
      <c r="C92" s="77"/>
      <c r="D92" s="78"/>
      <c r="E92" s="77"/>
      <c r="F92" s="77"/>
    </row>
    <row r="93" customFormat="false" ht="15" hidden="false" customHeight="false" outlineLevel="0" collapsed="false">
      <c r="A93" s="75"/>
      <c r="B93" s="77"/>
      <c r="C93" s="77"/>
      <c r="D93" s="78"/>
      <c r="E93" s="77"/>
      <c r="F93" s="77"/>
    </row>
    <row r="94" customFormat="false" ht="15" hidden="false" customHeight="false" outlineLevel="0" collapsed="false">
      <c r="A94" s="75"/>
      <c r="B94" s="77"/>
      <c r="C94" s="77"/>
      <c r="D94" s="78"/>
      <c r="E94" s="77"/>
      <c r="F94" s="77"/>
    </row>
    <row r="95" customFormat="false" ht="15" hidden="false" customHeight="false" outlineLevel="0" collapsed="false">
      <c r="A95" s="75"/>
      <c r="B95" s="77"/>
      <c r="C95" s="77"/>
      <c r="D95" s="78"/>
      <c r="E95" s="77"/>
      <c r="F95" s="77"/>
    </row>
    <row r="96" customFormat="false" ht="15" hidden="false" customHeight="false" outlineLevel="0" collapsed="false">
      <c r="A96" s="75"/>
      <c r="B96" s="77"/>
      <c r="C96" s="77"/>
      <c r="D96" s="78"/>
      <c r="E96" s="77"/>
      <c r="F96" s="77"/>
    </row>
    <row r="97" customFormat="false" ht="15" hidden="false" customHeight="false" outlineLevel="0" collapsed="false">
      <c r="A97" s="75"/>
      <c r="B97" s="77"/>
      <c r="C97" s="77"/>
      <c r="D97" s="78"/>
      <c r="E97" s="77"/>
      <c r="F97" s="77"/>
    </row>
    <row r="98" customFormat="false" ht="15" hidden="false" customHeight="false" outlineLevel="0" collapsed="false">
      <c r="A98" s="75"/>
      <c r="B98" s="77"/>
      <c r="C98" s="77"/>
      <c r="D98" s="78"/>
      <c r="E98" s="77"/>
      <c r="F98" s="77"/>
    </row>
    <row r="99" customFormat="false" ht="15" hidden="false" customHeight="false" outlineLevel="0" collapsed="false">
      <c r="A99" s="75"/>
      <c r="B99" s="77"/>
      <c r="C99" s="77"/>
      <c r="D99" s="78"/>
      <c r="E99" s="77"/>
      <c r="F99" s="77"/>
    </row>
    <row r="100" customFormat="false" ht="15" hidden="false" customHeight="false" outlineLevel="0" collapsed="false">
      <c r="A100" s="75"/>
      <c r="B100" s="77"/>
      <c r="C100" s="77"/>
      <c r="D100" s="78"/>
      <c r="E100" s="77"/>
      <c r="F100" s="77"/>
    </row>
    <row r="101" customFormat="false" ht="15" hidden="false" customHeight="false" outlineLevel="0" collapsed="false">
      <c r="A101" s="75"/>
      <c r="B101" s="77"/>
      <c r="C101" s="77"/>
      <c r="D101" s="78"/>
      <c r="E101" s="77"/>
      <c r="F101" s="77"/>
    </row>
    <row r="102" customFormat="false" ht="15" hidden="false" customHeight="false" outlineLevel="0" collapsed="false">
      <c r="A102" s="75"/>
      <c r="B102" s="77"/>
      <c r="C102" s="77"/>
      <c r="D102" s="78"/>
      <c r="E102" s="77"/>
      <c r="F102" s="77"/>
    </row>
    <row r="103" customFormat="false" ht="15" hidden="false" customHeight="false" outlineLevel="0" collapsed="false">
      <c r="A103" s="75"/>
      <c r="B103" s="77"/>
      <c r="C103" s="77"/>
      <c r="D103" s="78"/>
      <c r="E103" s="77"/>
      <c r="F103" s="77"/>
    </row>
    <row r="104" customFormat="false" ht="15" hidden="false" customHeight="false" outlineLevel="0" collapsed="false">
      <c r="A104" s="75"/>
      <c r="B104" s="77"/>
      <c r="C104" s="77"/>
      <c r="D104" s="78"/>
      <c r="E104" s="77"/>
      <c r="F104" s="77"/>
    </row>
    <row r="105" customFormat="false" ht="15" hidden="false" customHeight="false" outlineLevel="0" collapsed="false">
      <c r="A105" s="75"/>
      <c r="B105" s="77"/>
      <c r="C105" s="77"/>
      <c r="D105" s="78"/>
      <c r="E105" s="77"/>
      <c r="F105" s="77"/>
    </row>
    <row r="106" customFormat="false" ht="15" hidden="false" customHeight="false" outlineLevel="0" collapsed="false">
      <c r="A106" s="75"/>
      <c r="B106" s="77"/>
      <c r="C106" s="77"/>
      <c r="D106" s="78"/>
      <c r="E106" s="77"/>
      <c r="F106" s="77"/>
    </row>
    <row r="107" customFormat="false" ht="15" hidden="false" customHeight="false" outlineLevel="0" collapsed="false">
      <c r="A107" s="75"/>
      <c r="B107" s="77"/>
      <c r="C107" s="77"/>
      <c r="D107" s="78"/>
      <c r="E107" s="77"/>
      <c r="F107" s="77"/>
    </row>
    <row r="108" customFormat="false" ht="15" hidden="false" customHeight="false" outlineLevel="0" collapsed="false">
      <c r="A108" s="75"/>
      <c r="B108" s="77"/>
      <c r="C108" s="77"/>
      <c r="D108" s="78"/>
      <c r="E108" s="77"/>
      <c r="F108" s="77"/>
    </row>
    <row r="109" customFormat="false" ht="15" hidden="false" customHeight="false" outlineLevel="0" collapsed="false">
      <c r="A109" s="75"/>
      <c r="B109" s="77"/>
      <c r="C109" s="77"/>
      <c r="D109" s="78"/>
      <c r="E109" s="77"/>
      <c r="F109" s="77"/>
    </row>
    <row r="110" customFormat="false" ht="15" hidden="false" customHeight="false" outlineLevel="0" collapsed="false">
      <c r="A110" s="75"/>
      <c r="B110" s="77"/>
      <c r="C110" s="77"/>
      <c r="D110" s="78"/>
      <c r="E110" s="77"/>
      <c r="F110" s="77"/>
    </row>
    <row r="111" customFormat="false" ht="15" hidden="false" customHeight="false" outlineLevel="0" collapsed="false">
      <c r="A111" s="75"/>
      <c r="B111" s="77"/>
      <c r="C111" s="77"/>
      <c r="D111" s="78"/>
      <c r="E111" s="77"/>
      <c r="F111" s="77"/>
    </row>
    <row r="112" customFormat="false" ht="15" hidden="false" customHeight="false" outlineLevel="0" collapsed="false">
      <c r="A112" s="75"/>
      <c r="B112" s="77"/>
      <c r="C112" s="77"/>
      <c r="D112" s="78"/>
      <c r="E112" s="77"/>
      <c r="F112" s="77"/>
    </row>
    <row r="113" customFormat="false" ht="15" hidden="false" customHeight="false" outlineLevel="0" collapsed="false">
      <c r="A113" s="75"/>
      <c r="B113" s="77"/>
      <c r="C113" s="77"/>
      <c r="D113" s="78"/>
      <c r="E113" s="77"/>
      <c r="F113" s="77"/>
    </row>
    <row r="114" customFormat="false" ht="15" hidden="false" customHeight="false" outlineLevel="0" collapsed="false">
      <c r="A114" s="75"/>
      <c r="B114" s="77"/>
      <c r="C114" s="77"/>
      <c r="D114" s="78"/>
      <c r="E114" s="77"/>
      <c r="F114" s="77"/>
    </row>
    <row r="115" customFormat="false" ht="15" hidden="false" customHeight="false" outlineLevel="0" collapsed="false">
      <c r="A115" s="75"/>
      <c r="B115" s="77"/>
      <c r="C115" s="77"/>
      <c r="D115" s="78"/>
      <c r="E115" s="77"/>
      <c r="F115" s="77"/>
    </row>
    <row r="116" customFormat="false" ht="15" hidden="false" customHeight="false" outlineLevel="0" collapsed="false">
      <c r="A116" s="75"/>
      <c r="B116" s="77"/>
      <c r="C116" s="77"/>
      <c r="D116" s="78"/>
      <c r="E116" s="77"/>
      <c r="F116" s="77"/>
    </row>
    <row r="117" customFormat="false" ht="15" hidden="false" customHeight="false" outlineLevel="0" collapsed="false">
      <c r="A117" s="75"/>
      <c r="B117" s="77"/>
      <c r="C117" s="77"/>
      <c r="D117" s="78"/>
      <c r="E117" s="77"/>
      <c r="F117" s="77"/>
    </row>
    <row r="118" customFormat="false" ht="15" hidden="false" customHeight="false" outlineLevel="0" collapsed="false">
      <c r="A118" s="75"/>
      <c r="B118" s="77"/>
      <c r="C118" s="77"/>
      <c r="D118" s="78"/>
      <c r="E118" s="77"/>
      <c r="F118" s="77"/>
    </row>
    <row r="119" customFormat="false" ht="15" hidden="false" customHeight="false" outlineLevel="0" collapsed="false">
      <c r="A119" s="75"/>
      <c r="B119" s="77"/>
      <c r="C119" s="77"/>
      <c r="D119" s="78"/>
      <c r="E119" s="77"/>
      <c r="F119" s="77"/>
    </row>
    <row r="120" customFormat="false" ht="15" hidden="false" customHeight="false" outlineLevel="0" collapsed="false">
      <c r="A120" s="75"/>
      <c r="B120" s="77"/>
      <c r="C120" s="77"/>
      <c r="D120" s="78"/>
      <c r="E120" s="77"/>
      <c r="F120" s="77"/>
    </row>
    <row r="121" customFormat="false" ht="15" hidden="false" customHeight="false" outlineLevel="0" collapsed="false">
      <c r="A121" s="75"/>
      <c r="B121" s="77"/>
      <c r="C121" s="77"/>
      <c r="D121" s="78"/>
      <c r="E121" s="77"/>
      <c r="F121" s="77"/>
    </row>
    <row r="122" customFormat="false" ht="15" hidden="false" customHeight="false" outlineLevel="0" collapsed="false">
      <c r="A122" s="75"/>
      <c r="B122" s="77"/>
      <c r="C122" s="77"/>
      <c r="D122" s="78"/>
      <c r="E122" s="77"/>
      <c r="F122" s="77"/>
    </row>
    <row r="123" customFormat="false" ht="15" hidden="false" customHeight="false" outlineLevel="0" collapsed="false">
      <c r="A123" s="75"/>
      <c r="B123" s="77"/>
      <c r="C123" s="77"/>
      <c r="D123" s="78"/>
      <c r="E123" s="77"/>
      <c r="F123" s="77"/>
    </row>
    <row r="124" customFormat="false" ht="15" hidden="false" customHeight="false" outlineLevel="0" collapsed="false">
      <c r="A124" s="75"/>
      <c r="B124" s="77"/>
      <c r="C124" s="77"/>
      <c r="D124" s="78"/>
      <c r="E124" s="77"/>
      <c r="F124" s="77"/>
    </row>
    <row r="125" customFormat="false" ht="15" hidden="false" customHeight="false" outlineLevel="0" collapsed="false">
      <c r="A125" s="75"/>
      <c r="B125" s="77"/>
      <c r="C125" s="77"/>
      <c r="D125" s="78"/>
      <c r="E125" s="77"/>
      <c r="F125" s="77"/>
    </row>
    <row r="126" customFormat="false" ht="15" hidden="false" customHeight="false" outlineLevel="0" collapsed="false">
      <c r="A126" s="75"/>
      <c r="B126" s="77"/>
      <c r="C126" s="77"/>
      <c r="D126" s="78"/>
      <c r="E126" s="77"/>
      <c r="F126" s="77"/>
    </row>
    <row r="127" customFormat="false" ht="15" hidden="false" customHeight="false" outlineLevel="0" collapsed="false">
      <c r="A127" s="75"/>
      <c r="B127" s="77"/>
      <c r="C127" s="77"/>
      <c r="D127" s="78"/>
      <c r="E127" s="77"/>
      <c r="F127" s="77"/>
    </row>
    <row r="128" customFormat="false" ht="15" hidden="false" customHeight="false" outlineLevel="0" collapsed="false">
      <c r="A128" s="75"/>
      <c r="B128" s="77"/>
      <c r="C128" s="77"/>
      <c r="D128" s="78"/>
      <c r="E128" s="77"/>
      <c r="F128" s="77"/>
    </row>
    <row r="129" customFormat="false" ht="15" hidden="false" customHeight="false" outlineLevel="0" collapsed="false">
      <c r="A129" s="75"/>
      <c r="B129" s="77"/>
      <c r="C129" s="77"/>
      <c r="D129" s="78"/>
      <c r="E129" s="77"/>
      <c r="F129" s="77"/>
    </row>
    <row r="130" customFormat="false" ht="15" hidden="false" customHeight="false" outlineLevel="0" collapsed="false">
      <c r="A130" s="75"/>
      <c r="B130" s="77"/>
      <c r="C130" s="77"/>
      <c r="D130" s="78"/>
      <c r="E130" s="77"/>
      <c r="F130" s="77"/>
    </row>
    <row r="131" customFormat="false" ht="15" hidden="false" customHeight="false" outlineLevel="0" collapsed="false">
      <c r="A131" s="75"/>
      <c r="B131" s="77"/>
      <c r="C131" s="77"/>
      <c r="D131" s="78"/>
      <c r="E131" s="77"/>
      <c r="F131" s="77"/>
    </row>
    <row r="132" customFormat="false" ht="15" hidden="false" customHeight="false" outlineLevel="0" collapsed="false">
      <c r="A132" s="75"/>
      <c r="B132" s="77"/>
      <c r="C132" s="77"/>
      <c r="D132" s="78"/>
      <c r="E132" s="77"/>
      <c r="F132" s="77"/>
    </row>
    <row r="133" customFormat="false" ht="15" hidden="false" customHeight="false" outlineLevel="0" collapsed="false">
      <c r="A133" s="75"/>
      <c r="B133" s="77"/>
      <c r="C133" s="77"/>
      <c r="D133" s="78"/>
      <c r="E133" s="77"/>
      <c r="F133" s="77"/>
    </row>
    <row r="134" customFormat="false" ht="15" hidden="false" customHeight="false" outlineLevel="0" collapsed="false">
      <c r="A134" s="75"/>
      <c r="B134" s="77"/>
      <c r="C134" s="77"/>
      <c r="D134" s="78"/>
      <c r="E134" s="77"/>
      <c r="F134" s="77"/>
    </row>
    <row r="135" customFormat="false" ht="15" hidden="false" customHeight="false" outlineLevel="0" collapsed="false">
      <c r="A135" s="75"/>
      <c r="B135" s="77"/>
      <c r="C135" s="77"/>
      <c r="D135" s="78"/>
      <c r="E135" s="77"/>
      <c r="F135" s="77"/>
    </row>
    <row r="136" customFormat="false" ht="15" hidden="false" customHeight="false" outlineLevel="0" collapsed="false">
      <c r="A136" s="75"/>
      <c r="B136" s="77"/>
      <c r="C136" s="77"/>
      <c r="D136" s="78"/>
      <c r="E136" s="77"/>
      <c r="F136" s="77"/>
    </row>
    <row r="137" customFormat="false" ht="15" hidden="false" customHeight="false" outlineLevel="0" collapsed="false">
      <c r="A137" s="75"/>
      <c r="B137" s="77"/>
      <c r="C137" s="77"/>
      <c r="D137" s="78"/>
      <c r="E137" s="77"/>
      <c r="F137" s="77"/>
    </row>
    <row r="138" customFormat="false" ht="15" hidden="false" customHeight="false" outlineLevel="0" collapsed="false">
      <c r="A138" s="75"/>
      <c r="B138" s="77"/>
      <c r="C138" s="77"/>
      <c r="D138" s="78"/>
      <c r="E138" s="77"/>
      <c r="F138" s="77"/>
    </row>
    <row r="139" customFormat="false" ht="15" hidden="false" customHeight="false" outlineLevel="0" collapsed="false">
      <c r="A139" s="75"/>
      <c r="B139" s="77"/>
      <c r="C139" s="77"/>
      <c r="D139" s="78"/>
      <c r="E139" s="77"/>
      <c r="F139" s="77"/>
    </row>
    <row r="140" customFormat="false" ht="15" hidden="false" customHeight="false" outlineLevel="0" collapsed="false">
      <c r="A140" s="75"/>
      <c r="B140" s="77"/>
      <c r="C140" s="77"/>
      <c r="D140" s="78"/>
      <c r="E140" s="77"/>
      <c r="F140" s="77"/>
    </row>
    <row r="141" customFormat="false" ht="15" hidden="false" customHeight="false" outlineLevel="0" collapsed="false">
      <c r="A141" s="75"/>
      <c r="B141" s="77"/>
      <c r="C141" s="77"/>
      <c r="D141" s="78"/>
      <c r="E141" s="77"/>
      <c r="F141" s="77"/>
    </row>
    <row r="142" customFormat="false" ht="15" hidden="false" customHeight="false" outlineLevel="0" collapsed="false">
      <c r="A142" s="75"/>
      <c r="B142" s="77"/>
      <c r="C142" s="77"/>
      <c r="D142" s="78"/>
      <c r="E142" s="77"/>
      <c r="F142" s="77"/>
    </row>
    <row r="143" customFormat="false" ht="15" hidden="false" customHeight="false" outlineLevel="0" collapsed="false">
      <c r="A143" s="75"/>
      <c r="B143" s="77"/>
      <c r="C143" s="77"/>
      <c r="D143" s="78"/>
      <c r="E143" s="77"/>
      <c r="F143" s="77"/>
    </row>
    <row r="144" customFormat="false" ht="15" hidden="false" customHeight="false" outlineLevel="0" collapsed="false">
      <c r="A144" s="75"/>
      <c r="B144" s="77"/>
      <c r="C144" s="77"/>
      <c r="D144" s="78"/>
      <c r="E144" s="77"/>
      <c r="F144" s="77"/>
    </row>
    <row r="145" customFormat="false" ht="15" hidden="false" customHeight="false" outlineLevel="0" collapsed="false">
      <c r="A145" s="75"/>
      <c r="B145" s="77"/>
      <c r="C145" s="77"/>
      <c r="D145" s="78"/>
      <c r="E145" s="77"/>
      <c r="F145" s="77"/>
    </row>
    <row r="146" customFormat="false" ht="15" hidden="false" customHeight="false" outlineLevel="0" collapsed="false">
      <c r="A146" s="75"/>
      <c r="B146" s="77"/>
      <c r="C146" s="77"/>
      <c r="D146" s="78"/>
      <c r="E146" s="77"/>
      <c r="F146" s="77"/>
    </row>
    <row r="147" customFormat="false" ht="15" hidden="false" customHeight="false" outlineLevel="0" collapsed="false">
      <c r="A147" s="75"/>
      <c r="B147" s="77"/>
      <c r="C147" s="77"/>
      <c r="D147" s="78"/>
      <c r="E147" s="77"/>
      <c r="F147" s="77"/>
    </row>
    <row r="148" customFormat="false" ht="15" hidden="false" customHeight="false" outlineLevel="0" collapsed="false">
      <c r="A148" s="75"/>
      <c r="B148" s="77"/>
      <c r="C148" s="77"/>
      <c r="D148" s="78"/>
      <c r="E148" s="77"/>
      <c r="F148" s="77"/>
    </row>
    <row r="149" customFormat="false" ht="15" hidden="false" customHeight="false" outlineLevel="0" collapsed="false">
      <c r="A149" s="75"/>
      <c r="B149" s="77"/>
      <c r="C149" s="77"/>
      <c r="D149" s="78"/>
      <c r="E149" s="77"/>
      <c r="F149" s="77"/>
    </row>
    <row r="150" customFormat="false" ht="15" hidden="false" customHeight="false" outlineLevel="0" collapsed="false">
      <c r="A150" s="75"/>
      <c r="B150" s="77"/>
      <c r="C150" s="77"/>
      <c r="D150" s="78"/>
      <c r="E150" s="77"/>
      <c r="F150" s="77"/>
    </row>
    <row r="151" customFormat="false" ht="15" hidden="false" customHeight="false" outlineLevel="0" collapsed="false">
      <c r="A151" s="75"/>
      <c r="B151" s="77"/>
      <c r="C151" s="77"/>
      <c r="D151" s="78"/>
      <c r="E151" s="77"/>
      <c r="F151" s="77"/>
    </row>
    <row r="152" customFormat="false" ht="15" hidden="false" customHeight="false" outlineLevel="0" collapsed="false">
      <c r="A152" s="75"/>
      <c r="B152" s="77"/>
      <c r="C152" s="77"/>
      <c r="D152" s="78"/>
      <c r="E152" s="77"/>
      <c r="F152" s="77"/>
    </row>
    <row r="153" customFormat="false" ht="15" hidden="false" customHeight="false" outlineLevel="0" collapsed="false">
      <c r="A153" s="75"/>
      <c r="B153" s="77"/>
      <c r="C153" s="77"/>
      <c r="D153" s="78"/>
      <c r="E153" s="77"/>
      <c r="F153" s="77"/>
    </row>
    <row r="154" customFormat="false" ht="15" hidden="false" customHeight="false" outlineLevel="0" collapsed="false">
      <c r="A154" s="75"/>
      <c r="B154" s="77"/>
      <c r="C154" s="77"/>
      <c r="D154" s="78"/>
      <c r="E154" s="77"/>
      <c r="F154" s="77"/>
    </row>
    <row r="155" customFormat="false" ht="15" hidden="false" customHeight="false" outlineLevel="0" collapsed="false">
      <c r="A155" s="75"/>
      <c r="B155" s="77"/>
      <c r="C155" s="77"/>
      <c r="D155" s="78"/>
      <c r="E155" s="77"/>
      <c r="F155" s="77"/>
    </row>
    <row r="156" customFormat="false" ht="15" hidden="false" customHeight="false" outlineLevel="0" collapsed="false">
      <c r="A156" s="75"/>
      <c r="B156" s="77"/>
      <c r="C156" s="77"/>
      <c r="D156" s="78"/>
      <c r="E156" s="77"/>
      <c r="F156" s="77"/>
    </row>
    <row r="157" customFormat="false" ht="15" hidden="false" customHeight="false" outlineLevel="0" collapsed="false">
      <c r="A157" s="75"/>
      <c r="B157" s="77"/>
      <c r="C157" s="77"/>
      <c r="D157" s="78"/>
      <c r="E157" s="77"/>
      <c r="F157" s="77"/>
    </row>
    <row r="158" customFormat="false" ht="15" hidden="false" customHeight="false" outlineLevel="0" collapsed="false">
      <c r="A158" s="75"/>
      <c r="B158" s="77"/>
      <c r="C158" s="77"/>
      <c r="D158" s="78"/>
      <c r="E158" s="77"/>
      <c r="F158" s="77"/>
    </row>
    <row r="159" customFormat="false" ht="15" hidden="false" customHeight="false" outlineLevel="0" collapsed="false">
      <c r="A159" s="75"/>
      <c r="B159" s="77"/>
      <c r="C159" s="77"/>
      <c r="D159" s="78"/>
      <c r="E159" s="77"/>
      <c r="F159" s="77"/>
    </row>
    <row r="160" customFormat="false" ht="15" hidden="false" customHeight="false" outlineLevel="0" collapsed="false">
      <c r="A160" s="75"/>
      <c r="B160" s="77"/>
      <c r="C160" s="77"/>
      <c r="D160" s="78"/>
      <c r="E160" s="77"/>
      <c r="F160" s="77"/>
    </row>
    <row r="161" customFormat="false" ht="15" hidden="false" customHeight="false" outlineLevel="0" collapsed="false">
      <c r="A161" s="75"/>
      <c r="B161" s="77"/>
      <c r="C161" s="77"/>
      <c r="D161" s="78"/>
      <c r="E161" s="77"/>
      <c r="F161" s="77"/>
    </row>
    <row r="162" customFormat="false" ht="15" hidden="false" customHeight="false" outlineLevel="0" collapsed="false">
      <c r="A162" s="75"/>
      <c r="B162" s="77"/>
      <c r="C162" s="77"/>
      <c r="D162" s="78"/>
      <c r="E162" s="77"/>
      <c r="F162" s="77"/>
    </row>
    <row r="163" customFormat="false" ht="15" hidden="false" customHeight="false" outlineLevel="0" collapsed="false">
      <c r="A163" s="75"/>
      <c r="B163" s="77"/>
      <c r="C163" s="77"/>
      <c r="D163" s="78"/>
      <c r="E163" s="77"/>
      <c r="F163" s="77"/>
    </row>
    <row r="164" customFormat="false" ht="15" hidden="false" customHeight="false" outlineLevel="0" collapsed="false">
      <c r="A164" s="75"/>
      <c r="B164" s="77"/>
      <c r="C164" s="77"/>
      <c r="D164" s="78"/>
      <c r="E164" s="77"/>
      <c r="F164" s="77"/>
    </row>
    <row r="165" customFormat="false" ht="15" hidden="false" customHeight="false" outlineLevel="0" collapsed="false">
      <c r="A165" s="75"/>
      <c r="B165" s="77"/>
      <c r="C165" s="77"/>
      <c r="D165" s="78"/>
      <c r="E165" s="77"/>
      <c r="F165" s="77"/>
    </row>
    <row r="166" customFormat="false" ht="15" hidden="false" customHeight="false" outlineLevel="0" collapsed="false">
      <c r="A166" s="75"/>
      <c r="B166" s="77"/>
      <c r="C166" s="77"/>
      <c r="D166" s="78"/>
      <c r="E166" s="77"/>
      <c r="F166" s="77"/>
    </row>
    <row r="167" customFormat="false" ht="15" hidden="false" customHeight="false" outlineLevel="0" collapsed="false">
      <c r="A167" s="75"/>
      <c r="B167" s="77"/>
      <c r="C167" s="77"/>
      <c r="D167" s="78"/>
      <c r="E167" s="77"/>
      <c r="F167" s="77"/>
    </row>
    <row r="168" customFormat="false" ht="15" hidden="false" customHeight="false" outlineLevel="0" collapsed="false">
      <c r="A168" s="75"/>
      <c r="B168" s="77"/>
      <c r="C168" s="77"/>
      <c r="D168" s="78"/>
      <c r="E168" s="77"/>
      <c r="F168" s="77"/>
    </row>
    <row r="169" customFormat="false" ht="15" hidden="false" customHeight="false" outlineLevel="0" collapsed="false">
      <c r="A169" s="75"/>
      <c r="B169" s="77"/>
      <c r="C169" s="77"/>
      <c r="D169" s="78"/>
      <c r="E169" s="77"/>
      <c r="F169" s="77"/>
    </row>
    <row r="170" customFormat="false" ht="15" hidden="false" customHeight="false" outlineLevel="0" collapsed="false">
      <c r="A170" s="75"/>
      <c r="B170" s="77"/>
      <c r="C170" s="77"/>
      <c r="D170" s="78"/>
      <c r="E170" s="77"/>
      <c r="F170" s="77"/>
    </row>
    <row r="171" customFormat="false" ht="15" hidden="false" customHeight="false" outlineLevel="0" collapsed="false">
      <c r="A171" s="75"/>
      <c r="B171" s="77"/>
      <c r="C171" s="77"/>
      <c r="D171" s="78"/>
      <c r="E171" s="77"/>
      <c r="F171" s="77"/>
    </row>
    <row r="172" customFormat="false" ht="15" hidden="false" customHeight="false" outlineLevel="0" collapsed="false">
      <c r="A172" s="75"/>
      <c r="B172" s="77"/>
      <c r="C172" s="77"/>
      <c r="D172" s="78"/>
      <c r="E172" s="77"/>
      <c r="F172" s="77"/>
    </row>
    <row r="173" customFormat="false" ht="15" hidden="false" customHeight="false" outlineLevel="0" collapsed="false">
      <c r="A173" s="75"/>
      <c r="B173" s="77"/>
      <c r="C173" s="77"/>
      <c r="D173" s="78"/>
      <c r="E173" s="77"/>
      <c r="F173" s="77"/>
    </row>
    <row r="174" customFormat="false" ht="15" hidden="false" customHeight="false" outlineLevel="0" collapsed="false">
      <c r="A174" s="75"/>
      <c r="B174" s="77"/>
      <c r="C174" s="77"/>
      <c r="D174" s="78"/>
      <c r="E174" s="77"/>
      <c r="F174" s="77"/>
    </row>
    <row r="175" customFormat="false" ht="15" hidden="false" customHeight="false" outlineLevel="0" collapsed="false">
      <c r="A175" s="75"/>
      <c r="B175" s="77"/>
      <c r="C175" s="77"/>
      <c r="D175" s="78"/>
      <c r="E175" s="77"/>
      <c r="F175" s="77"/>
    </row>
    <row r="176" customFormat="false" ht="15" hidden="false" customHeight="false" outlineLevel="0" collapsed="false">
      <c r="A176" s="75"/>
      <c r="B176" s="77"/>
      <c r="C176" s="77"/>
      <c r="D176" s="78"/>
      <c r="E176" s="77"/>
      <c r="F176" s="77"/>
    </row>
    <row r="177" customFormat="false" ht="15" hidden="false" customHeight="false" outlineLevel="0" collapsed="false">
      <c r="A177" s="75"/>
      <c r="B177" s="77"/>
      <c r="C177" s="77"/>
      <c r="D177" s="78"/>
      <c r="E177" s="77"/>
      <c r="F177" s="77"/>
    </row>
    <row r="178" customFormat="false" ht="15" hidden="false" customHeight="false" outlineLevel="0" collapsed="false">
      <c r="A178" s="75"/>
      <c r="B178" s="77"/>
      <c r="C178" s="77"/>
      <c r="D178" s="78"/>
      <c r="E178" s="77"/>
      <c r="F178" s="77"/>
    </row>
    <row r="179" customFormat="false" ht="15" hidden="false" customHeight="false" outlineLevel="0" collapsed="false">
      <c r="A179" s="75"/>
      <c r="B179" s="77"/>
      <c r="C179" s="77"/>
      <c r="D179" s="78"/>
      <c r="E179" s="77"/>
      <c r="F179" s="77"/>
    </row>
    <row r="180" customFormat="false" ht="15" hidden="false" customHeight="false" outlineLevel="0" collapsed="false">
      <c r="A180" s="75"/>
      <c r="B180" s="77"/>
      <c r="C180" s="77"/>
      <c r="D180" s="78"/>
      <c r="E180" s="77"/>
      <c r="F180" s="77"/>
    </row>
    <row r="181" customFormat="false" ht="15" hidden="false" customHeight="false" outlineLevel="0" collapsed="false">
      <c r="A181" s="75"/>
      <c r="B181" s="77"/>
      <c r="C181" s="77"/>
      <c r="D181" s="78"/>
      <c r="E181" s="77"/>
      <c r="F181" s="77"/>
    </row>
    <row r="182" customFormat="false" ht="15" hidden="false" customHeight="false" outlineLevel="0" collapsed="false">
      <c r="A182" s="75"/>
      <c r="B182" s="77"/>
      <c r="C182" s="77"/>
      <c r="D182" s="78"/>
      <c r="E182" s="77"/>
      <c r="F182" s="77"/>
    </row>
    <row r="183" customFormat="false" ht="15" hidden="false" customHeight="false" outlineLevel="0" collapsed="false">
      <c r="A183" s="75"/>
      <c r="B183" s="77"/>
      <c r="C183" s="77"/>
      <c r="D183" s="78"/>
      <c r="E183" s="77"/>
      <c r="F183" s="77"/>
    </row>
    <row r="184" customFormat="false" ht="15" hidden="false" customHeight="false" outlineLevel="0" collapsed="false">
      <c r="A184" s="75"/>
      <c r="B184" s="77"/>
      <c r="C184" s="77"/>
      <c r="D184" s="78"/>
      <c r="E184" s="77"/>
      <c r="F184" s="77"/>
    </row>
    <row r="185" customFormat="false" ht="15" hidden="false" customHeight="false" outlineLevel="0" collapsed="false">
      <c r="A185" s="75"/>
      <c r="B185" s="77"/>
      <c r="C185" s="77"/>
      <c r="D185" s="78"/>
      <c r="E185" s="77"/>
      <c r="F185" s="77"/>
    </row>
    <row r="186" customFormat="false" ht="15" hidden="false" customHeight="false" outlineLevel="0" collapsed="false">
      <c r="A186" s="75"/>
      <c r="B186" s="77"/>
      <c r="C186" s="77"/>
      <c r="D186" s="78"/>
      <c r="E186" s="77"/>
      <c r="F186" s="77"/>
    </row>
    <row r="187" customFormat="false" ht="15" hidden="false" customHeight="false" outlineLevel="0" collapsed="false">
      <c r="A187" s="75"/>
      <c r="B187" s="77"/>
      <c r="C187" s="77"/>
      <c r="D187" s="78"/>
      <c r="E187" s="77"/>
      <c r="F187" s="77"/>
    </row>
    <row r="188" customFormat="false" ht="15" hidden="false" customHeight="false" outlineLevel="0" collapsed="false">
      <c r="A188" s="75"/>
      <c r="B188" s="77"/>
      <c r="C188" s="77"/>
      <c r="D188" s="78"/>
      <c r="E188" s="77"/>
      <c r="F188" s="77"/>
    </row>
    <row r="189" customFormat="false" ht="15" hidden="false" customHeight="false" outlineLevel="0" collapsed="false">
      <c r="A189" s="75"/>
      <c r="B189" s="77"/>
      <c r="C189" s="77"/>
      <c r="D189" s="78"/>
      <c r="E189" s="77"/>
      <c r="F189" s="77"/>
    </row>
    <row r="190" customFormat="false" ht="15" hidden="false" customHeight="false" outlineLevel="0" collapsed="false">
      <c r="A190" s="75"/>
      <c r="B190" s="77"/>
      <c r="C190" s="77"/>
      <c r="D190" s="78"/>
      <c r="E190" s="77"/>
      <c r="F190" s="77"/>
    </row>
    <row r="191" customFormat="false" ht="15" hidden="false" customHeight="false" outlineLevel="0" collapsed="false">
      <c r="A191" s="75"/>
      <c r="B191" s="77"/>
      <c r="C191" s="77"/>
      <c r="D191" s="78"/>
      <c r="E191" s="77"/>
      <c r="F191" s="77"/>
    </row>
    <row r="192" customFormat="false" ht="15" hidden="false" customHeight="false" outlineLevel="0" collapsed="false">
      <c r="A192" s="75"/>
      <c r="B192" s="77"/>
      <c r="C192" s="77"/>
      <c r="D192" s="78"/>
      <c r="E192" s="77"/>
      <c r="F192" s="77"/>
    </row>
    <row r="193" customFormat="false" ht="15" hidden="false" customHeight="false" outlineLevel="0" collapsed="false">
      <c r="A193" s="75"/>
      <c r="B193" s="77"/>
      <c r="C193" s="77"/>
      <c r="D193" s="78"/>
      <c r="E193" s="77"/>
      <c r="F193" s="77"/>
    </row>
    <row r="194" customFormat="false" ht="15" hidden="false" customHeight="false" outlineLevel="0" collapsed="false">
      <c r="A194" s="75"/>
      <c r="B194" s="77"/>
      <c r="C194" s="77"/>
      <c r="D194" s="78"/>
      <c r="E194" s="77"/>
      <c r="F194" s="77"/>
    </row>
    <row r="195" customFormat="false" ht="15" hidden="false" customHeight="false" outlineLevel="0" collapsed="false">
      <c r="A195" s="75"/>
      <c r="B195" s="77"/>
      <c r="C195" s="77"/>
      <c r="D195" s="78"/>
      <c r="E195" s="77"/>
      <c r="F195" s="77"/>
    </row>
    <row r="196" customFormat="false" ht="15" hidden="false" customHeight="false" outlineLevel="0" collapsed="false">
      <c r="A196" s="75"/>
      <c r="B196" s="77"/>
      <c r="C196" s="77"/>
      <c r="D196" s="78"/>
      <c r="E196" s="77"/>
      <c r="F196" s="77"/>
    </row>
    <row r="197" customFormat="false" ht="15" hidden="false" customHeight="false" outlineLevel="0" collapsed="false">
      <c r="A197" s="75"/>
      <c r="B197" s="77"/>
      <c r="C197" s="77"/>
      <c r="D197" s="78"/>
      <c r="E197" s="77"/>
      <c r="F197" s="77"/>
    </row>
    <row r="198" customFormat="false" ht="15" hidden="false" customHeight="false" outlineLevel="0" collapsed="false">
      <c r="A198" s="75"/>
      <c r="B198" s="77"/>
      <c r="C198" s="77"/>
      <c r="D198" s="78"/>
      <c r="E198" s="77"/>
      <c r="F198" s="77"/>
    </row>
    <row r="199" customFormat="false" ht="15" hidden="false" customHeight="false" outlineLevel="0" collapsed="false">
      <c r="A199" s="75"/>
      <c r="B199" s="77"/>
      <c r="C199" s="77"/>
      <c r="D199" s="78"/>
      <c r="E199" s="77"/>
      <c r="F199" s="77"/>
    </row>
    <row r="200" customFormat="false" ht="15" hidden="false" customHeight="false" outlineLevel="0" collapsed="false">
      <c r="A200" s="75"/>
      <c r="B200" s="77"/>
      <c r="C200" s="77"/>
      <c r="D200" s="78"/>
      <c r="E200" s="77"/>
      <c r="F200" s="77"/>
    </row>
    <row r="201" customFormat="false" ht="15" hidden="false" customHeight="false" outlineLevel="0" collapsed="false">
      <c r="A201" s="75"/>
      <c r="B201" s="77"/>
      <c r="C201" s="77"/>
      <c r="D201" s="78"/>
      <c r="E201" s="77"/>
      <c r="F201" s="77"/>
    </row>
    <row r="202" customFormat="false" ht="15" hidden="false" customHeight="false" outlineLevel="0" collapsed="false">
      <c r="A202" s="75"/>
      <c r="B202" s="77"/>
      <c r="C202" s="77"/>
      <c r="D202" s="78"/>
      <c r="E202" s="77"/>
      <c r="F202" s="77"/>
    </row>
    <row r="203" customFormat="false" ht="15" hidden="false" customHeight="false" outlineLevel="0" collapsed="false">
      <c r="A203" s="75"/>
      <c r="B203" s="77"/>
      <c r="C203" s="77"/>
      <c r="D203" s="78"/>
      <c r="E203" s="77"/>
      <c r="F203" s="77"/>
    </row>
    <row r="204" customFormat="false" ht="15" hidden="false" customHeight="false" outlineLevel="0" collapsed="false">
      <c r="A204" s="75"/>
      <c r="B204" s="77"/>
      <c r="C204" s="77"/>
      <c r="D204" s="78"/>
      <c r="E204" s="77"/>
      <c r="F204" s="77"/>
    </row>
    <row r="205" customFormat="false" ht="15" hidden="false" customHeight="false" outlineLevel="0" collapsed="false">
      <c r="A205" s="75"/>
      <c r="B205" s="77"/>
      <c r="C205" s="77"/>
      <c r="D205" s="78"/>
      <c r="E205" s="77"/>
      <c r="F205" s="77"/>
    </row>
    <row r="206" customFormat="false" ht="15" hidden="false" customHeight="false" outlineLevel="0" collapsed="false">
      <c r="A206" s="75"/>
      <c r="B206" s="77"/>
      <c r="C206" s="77"/>
      <c r="D206" s="78"/>
      <c r="E206" s="77"/>
      <c r="F206" s="77"/>
    </row>
    <row r="207" customFormat="false" ht="15" hidden="false" customHeight="false" outlineLevel="0" collapsed="false">
      <c r="A207" s="75"/>
      <c r="B207" s="77"/>
      <c r="C207" s="77"/>
      <c r="D207" s="78"/>
      <c r="E207" s="77"/>
      <c r="F207" s="77"/>
    </row>
    <row r="208" customFormat="false" ht="15" hidden="false" customHeight="false" outlineLevel="0" collapsed="false">
      <c r="A208" s="75"/>
      <c r="B208" s="77"/>
      <c r="C208" s="77"/>
      <c r="D208" s="78"/>
      <c r="E208" s="77"/>
      <c r="F208" s="77"/>
    </row>
    <row r="209" customFormat="false" ht="15" hidden="false" customHeight="false" outlineLevel="0" collapsed="false">
      <c r="A209" s="75"/>
      <c r="B209" s="77"/>
      <c r="C209" s="77"/>
      <c r="D209" s="78"/>
      <c r="E209" s="77"/>
      <c r="F209" s="77"/>
    </row>
    <row r="210" customFormat="false" ht="15" hidden="false" customHeight="false" outlineLevel="0" collapsed="false">
      <c r="A210" s="75"/>
      <c r="B210" s="77"/>
      <c r="C210" s="77"/>
      <c r="D210" s="78"/>
      <c r="E210" s="77"/>
      <c r="F210" s="77"/>
    </row>
    <row r="211" customFormat="false" ht="15" hidden="false" customHeight="false" outlineLevel="0" collapsed="false">
      <c r="A211" s="75"/>
      <c r="B211" s="77"/>
      <c r="C211" s="77"/>
      <c r="D211" s="78"/>
      <c r="E211" s="77"/>
      <c r="F211" s="77"/>
    </row>
    <row r="212" customFormat="false" ht="15" hidden="false" customHeight="false" outlineLevel="0" collapsed="false">
      <c r="A212" s="75"/>
      <c r="B212" s="77"/>
      <c r="C212" s="77"/>
      <c r="D212" s="78"/>
      <c r="E212" s="77"/>
      <c r="F212" s="77"/>
    </row>
    <row r="213" customFormat="false" ht="15" hidden="false" customHeight="false" outlineLevel="0" collapsed="false">
      <c r="A213" s="75"/>
      <c r="B213" s="77"/>
      <c r="C213" s="77"/>
      <c r="D213" s="78"/>
      <c r="E213" s="77"/>
      <c r="F213" s="77"/>
    </row>
    <row r="214" customFormat="false" ht="15" hidden="false" customHeight="false" outlineLevel="0" collapsed="false">
      <c r="A214" s="75"/>
      <c r="B214" s="77"/>
      <c r="C214" s="77"/>
      <c r="D214" s="78"/>
      <c r="E214" s="77"/>
      <c r="F214" s="77"/>
    </row>
    <row r="215" customFormat="false" ht="15" hidden="false" customHeight="false" outlineLevel="0" collapsed="false">
      <c r="A215" s="75"/>
      <c r="B215" s="77"/>
      <c r="C215" s="77"/>
      <c r="D215" s="78"/>
      <c r="E215" s="77"/>
      <c r="F215" s="77"/>
    </row>
    <row r="216" customFormat="false" ht="15" hidden="false" customHeight="false" outlineLevel="0" collapsed="false">
      <c r="A216" s="75"/>
      <c r="B216" s="77"/>
      <c r="C216" s="77"/>
      <c r="D216" s="78"/>
      <c r="E216" s="77"/>
      <c r="F216" s="77"/>
    </row>
    <row r="217" customFormat="false" ht="15" hidden="false" customHeight="false" outlineLevel="0" collapsed="false">
      <c r="A217" s="75"/>
      <c r="B217" s="77"/>
      <c r="C217" s="77"/>
      <c r="D217" s="78"/>
      <c r="E217" s="77"/>
      <c r="F217" s="77"/>
    </row>
    <row r="218" customFormat="false" ht="15" hidden="false" customHeight="false" outlineLevel="0" collapsed="false">
      <c r="A218" s="75"/>
      <c r="B218" s="77"/>
      <c r="C218" s="77"/>
      <c r="D218" s="78"/>
      <c r="E218" s="77"/>
      <c r="F218" s="77"/>
    </row>
    <row r="219" customFormat="false" ht="15" hidden="false" customHeight="false" outlineLevel="0" collapsed="false">
      <c r="A219" s="75"/>
      <c r="B219" s="77"/>
      <c r="C219" s="77"/>
      <c r="D219" s="78"/>
      <c r="E219" s="77"/>
      <c r="F219" s="77"/>
    </row>
    <row r="220" customFormat="false" ht="15" hidden="false" customHeight="false" outlineLevel="0" collapsed="false">
      <c r="A220" s="75"/>
      <c r="B220" s="77"/>
      <c r="C220" s="77"/>
      <c r="D220" s="78"/>
      <c r="E220" s="77"/>
      <c r="F220" s="77"/>
    </row>
    <row r="221" customFormat="false" ht="15" hidden="false" customHeight="false" outlineLevel="0" collapsed="false">
      <c r="A221" s="75"/>
      <c r="B221" s="77"/>
      <c r="C221" s="77"/>
      <c r="D221" s="78"/>
      <c r="E221" s="77"/>
      <c r="F221" s="77"/>
    </row>
    <row r="222" customFormat="false" ht="15" hidden="false" customHeight="false" outlineLevel="0" collapsed="false">
      <c r="A222" s="75"/>
      <c r="B222" s="77"/>
      <c r="C222" s="77"/>
      <c r="D222" s="78"/>
      <c r="E222" s="77"/>
      <c r="F222" s="77"/>
    </row>
    <row r="223" customFormat="false" ht="15" hidden="false" customHeight="false" outlineLevel="0" collapsed="false">
      <c r="A223" s="75"/>
      <c r="B223" s="77"/>
      <c r="C223" s="77"/>
      <c r="D223" s="78"/>
      <c r="E223" s="77"/>
      <c r="F223" s="77"/>
    </row>
    <row r="224" customFormat="false" ht="15" hidden="false" customHeight="false" outlineLevel="0" collapsed="false">
      <c r="A224" s="75"/>
      <c r="B224" s="77"/>
      <c r="C224" s="77"/>
      <c r="D224" s="78"/>
      <c r="E224" s="77"/>
      <c r="F224" s="77"/>
    </row>
    <row r="225" customFormat="false" ht="15" hidden="false" customHeight="false" outlineLevel="0" collapsed="false">
      <c r="A225" s="75"/>
      <c r="B225" s="77"/>
      <c r="C225" s="77"/>
      <c r="D225" s="78"/>
      <c r="E225" s="77"/>
      <c r="F225" s="77"/>
    </row>
    <row r="226" customFormat="false" ht="15" hidden="false" customHeight="false" outlineLevel="0" collapsed="false">
      <c r="A226" s="75"/>
      <c r="B226" s="77"/>
      <c r="C226" s="77"/>
      <c r="D226" s="78"/>
      <c r="E226" s="77"/>
      <c r="F226" s="77"/>
    </row>
    <row r="227" customFormat="false" ht="15" hidden="false" customHeight="false" outlineLevel="0" collapsed="false">
      <c r="A227" s="75"/>
      <c r="B227" s="77"/>
      <c r="C227" s="77"/>
      <c r="D227" s="78"/>
      <c r="E227" s="77"/>
      <c r="F227" s="77"/>
    </row>
    <row r="228" customFormat="false" ht="15" hidden="false" customHeight="false" outlineLevel="0" collapsed="false">
      <c r="A228" s="75"/>
      <c r="B228" s="77"/>
      <c r="C228" s="77"/>
      <c r="D228" s="78"/>
      <c r="E228" s="77"/>
      <c r="F228" s="77"/>
    </row>
    <row r="229" customFormat="false" ht="15" hidden="false" customHeight="false" outlineLevel="0" collapsed="false">
      <c r="A229" s="75"/>
      <c r="B229" s="77"/>
      <c r="C229" s="77"/>
      <c r="D229" s="78"/>
      <c r="E229" s="77"/>
      <c r="F229" s="77"/>
    </row>
    <row r="230" customFormat="false" ht="15" hidden="false" customHeight="false" outlineLevel="0" collapsed="false">
      <c r="A230" s="75"/>
      <c r="B230" s="77"/>
      <c r="C230" s="77"/>
      <c r="D230" s="78"/>
      <c r="E230" s="77"/>
      <c r="F230" s="77"/>
    </row>
    <row r="231" customFormat="false" ht="15" hidden="false" customHeight="false" outlineLevel="0" collapsed="false">
      <c r="A231" s="75"/>
      <c r="B231" s="77"/>
      <c r="C231" s="77"/>
      <c r="D231" s="78"/>
      <c r="E231" s="77"/>
      <c r="F231" s="77"/>
    </row>
    <row r="232" customFormat="false" ht="15" hidden="false" customHeight="false" outlineLevel="0" collapsed="false">
      <c r="A232" s="75"/>
      <c r="B232" s="77"/>
      <c r="C232" s="77"/>
      <c r="D232" s="78"/>
      <c r="E232" s="77"/>
      <c r="F232" s="77"/>
    </row>
    <row r="233" customFormat="false" ht="15" hidden="false" customHeight="false" outlineLevel="0" collapsed="false">
      <c r="A233" s="75"/>
      <c r="B233" s="77"/>
      <c r="C233" s="77"/>
      <c r="D233" s="78"/>
      <c r="E233" s="77"/>
      <c r="F233" s="77"/>
    </row>
    <row r="234" customFormat="false" ht="15" hidden="false" customHeight="false" outlineLevel="0" collapsed="false">
      <c r="A234" s="75"/>
      <c r="B234" s="77"/>
      <c r="C234" s="77"/>
      <c r="D234" s="78"/>
      <c r="E234" s="77"/>
      <c r="F234" s="77"/>
    </row>
    <row r="235" customFormat="false" ht="15" hidden="false" customHeight="false" outlineLevel="0" collapsed="false">
      <c r="A235" s="75"/>
      <c r="B235" s="77"/>
      <c r="C235" s="77"/>
      <c r="D235" s="78"/>
      <c r="E235" s="77"/>
      <c r="F235" s="77"/>
    </row>
    <row r="236" customFormat="false" ht="15" hidden="false" customHeight="false" outlineLevel="0" collapsed="false">
      <c r="A236" s="75"/>
      <c r="B236" s="77"/>
      <c r="C236" s="77"/>
      <c r="D236" s="78"/>
      <c r="E236" s="77"/>
      <c r="F236" s="77"/>
    </row>
    <row r="237" customFormat="false" ht="15" hidden="false" customHeight="false" outlineLevel="0" collapsed="false">
      <c r="A237" s="75"/>
      <c r="B237" s="77"/>
      <c r="C237" s="77"/>
      <c r="D237" s="78"/>
      <c r="E237" s="77"/>
      <c r="F237" s="77"/>
    </row>
    <row r="238" customFormat="false" ht="15" hidden="false" customHeight="false" outlineLevel="0" collapsed="false">
      <c r="A238" s="75"/>
      <c r="B238" s="77"/>
      <c r="C238" s="77"/>
      <c r="D238" s="78"/>
      <c r="E238" s="77"/>
      <c r="F238" s="77"/>
    </row>
    <row r="239" customFormat="false" ht="15" hidden="false" customHeight="false" outlineLevel="0" collapsed="false">
      <c r="A239" s="75"/>
      <c r="B239" s="77"/>
      <c r="C239" s="77"/>
      <c r="D239" s="78"/>
      <c r="E239" s="77"/>
      <c r="F239" s="77"/>
    </row>
    <row r="240" customFormat="false" ht="15" hidden="false" customHeight="false" outlineLevel="0" collapsed="false">
      <c r="A240" s="75"/>
      <c r="B240" s="77"/>
      <c r="C240" s="77"/>
      <c r="D240" s="78"/>
      <c r="E240" s="77"/>
      <c r="F240" s="77"/>
    </row>
    <row r="241" customFormat="false" ht="15" hidden="false" customHeight="false" outlineLevel="0" collapsed="false">
      <c r="A241" s="75"/>
      <c r="B241" s="77"/>
      <c r="C241" s="77"/>
      <c r="D241" s="78"/>
      <c r="E241" s="77"/>
      <c r="F241" s="77"/>
    </row>
    <row r="242" customFormat="false" ht="15" hidden="false" customHeight="false" outlineLevel="0" collapsed="false">
      <c r="A242" s="75"/>
      <c r="B242" s="77"/>
      <c r="C242" s="77"/>
      <c r="D242" s="78"/>
      <c r="E242" s="77"/>
      <c r="F242" s="77"/>
    </row>
    <row r="243" customFormat="false" ht="15" hidden="false" customHeight="false" outlineLevel="0" collapsed="false">
      <c r="A243" s="75"/>
      <c r="B243" s="77"/>
      <c r="C243" s="77"/>
      <c r="D243" s="78"/>
      <c r="E243" s="77"/>
      <c r="F243" s="77"/>
    </row>
    <row r="244" customFormat="false" ht="15" hidden="false" customHeight="false" outlineLevel="0" collapsed="false">
      <c r="A244" s="75"/>
      <c r="B244" s="77"/>
      <c r="C244" s="77"/>
      <c r="D244" s="78"/>
      <c r="E244" s="77"/>
      <c r="F244" s="77"/>
    </row>
    <row r="245" customFormat="false" ht="15" hidden="false" customHeight="false" outlineLevel="0" collapsed="false">
      <c r="A245" s="75"/>
      <c r="B245" s="77"/>
      <c r="C245" s="77"/>
      <c r="D245" s="78"/>
      <c r="E245" s="77"/>
      <c r="F245" s="77"/>
    </row>
    <row r="246" customFormat="false" ht="15" hidden="false" customHeight="false" outlineLevel="0" collapsed="false">
      <c r="A246" s="75"/>
      <c r="B246" s="77"/>
      <c r="C246" s="77"/>
      <c r="D246" s="78"/>
      <c r="E246" s="77"/>
      <c r="F246" s="77"/>
    </row>
    <row r="247" customFormat="false" ht="15" hidden="false" customHeight="false" outlineLevel="0" collapsed="false">
      <c r="A247" s="75"/>
      <c r="B247" s="77"/>
      <c r="C247" s="77"/>
      <c r="D247" s="78"/>
      <c r="E247" s="77"/>
      <c r="F247" s="77"/>
    </row>
    <row r="248" customFormat="false" ht="15" hidden="false" customHeight="false" outlineLevel="0" collapsed="false">
      <c r="A248" s="75"/>
      <c r="B248" s="77"/>
      <c r="C248" s="77"/>
      <c r="D248" s="78"/>
      <c r="E248" s="77"/>
      <c r="F248" s="77"/>
    </row>
    <row r="249" customFormat="false" ht="15" hidden="false" customHeight="false" outlineLevel="0" collapsed="false">
      <c r="A249" s="75"/>
      <c r="B249" s="77"/>
      <c r="C249" s="77"/>
      <c r="D249" s="78"/>
      <c r="E249" s="77"/>
      <c r="F249" s="77"/>
    </row>
    <row r="250" customFormat="false" ht="15" hidden="false" customHeight="false" outlineLevel="0" collapsed="false">
      <c r="A250" s="75"/>
      <c r="B250" s="77"/>
      <c r="C250" s="77"/>
      <c r="D250" s="78"/>
      <c r="E250" s="77"/>
      <c r="F250" s="77"/>
    </row>
    <row r="251" customFormat="false" ht="15" hidden="false" customHeight="false" outlineLevel="0" collapsed="false">
      <c r="A251" s="75"/>
      <c r="B251" s="77"/>
      <c r="C251" s="77"/>
      <c r="D251" s="78"/>
      <c r="E251" s="77"/>
      <c r="F251" s="77"/>
    </row>
    <row r="252" customFormat="false" ht="15" hidden="false" customHeight="false" outlineLevel="0" collapsed="false">
      <c r="A252" s="75"/>
      <c r="B252" s="77"/>
      <c r="C252" s="77"/>
      <c r="D252" s="78"/>
      <c r="E252" s="77"/>
      <c r="F252" s="77"/>
    </row>
    <row r="253" customFormat="false" ht="15" hidden="false" customHeight="false" outlineLevel="0" collapsed="false">
      <c r="A253" s="75"/>
      <c r="B253" s="77"/>
      <c r="C253" s="77"/>
      <c r="D253" s="78"/>
      <c r="E253" s="77"/>
      <c r="F253" s="77"/>
    </row>
    <row r="254" customFormat="false" ht="15" hidden="false" customHeight="false" outlineLevel="0" collapsed="false">
      <c r="A254" s="75"/>
      <c r="B254" s="77"/>
      <c r="C254" s="77"/>
      <c r="D254" s="78"/>
      <c r="E254" s="77"/>
      <c r="F254" s="77"/>
    </row>
    <row r="255" customFormat="false" ht="15" hidden="false" customHeight="false" outlineLevel="0" collapsed="false">
      <c r="A255" s="75"/>
      <c r="B255" s="77"/>
      <c r="C255" s="77"/>
      <c r="D255" s="78"/>
      <c r="E255" s="77"/>
      <c r="F255" s="77"/>
    </row>
    <row r="256" customFormat="false" ht="15" hidden="false" customHeight="false" outlineLevel="0" collapsed="false">
      <c r="A256" s="75"/>
      <c r="B256" s="77"/>
      <c r="C256" s="77"/>
      <c r="D256" s="78"/>
      <c r="E256" s="77"/>
      <c r="F256" s="77"/>
    </row>
    <row r="257" customFormat="false" ht="15" hidden="false" customHeight="false" outlineLevel="0" collapsed="false">
      <c r="A257" s="75"/>
      <c r="B257" s="77"/>
      <c r="C257" s="77"/>
      <c r="D257" s="78"/>
      <c r="E257" s="77"/>
      <c r="F257" s="77"/>
    </row>
    <row r="258" customFormat="false" ht="15" hidden="false" customHeight="false" outlineLevel="0" collapsed="false">
      <c r="A258" s="75"/>
      <c r="B258" s="77"/>
      <c r="C258" s="77"/>
      <c r="D258" s="78"/>
      <c r="E258" s="77"/>
      <c r="F258" s="77"/>
    </row>
    <row r="259" customFormat="false" ht="15" hidden="false" customHeight="false" outlineLevel="0" collapsed="false">
      <c r="A259" s="75"/>
      <c r="B259" s="77"/>
      <c r="C259" s="77"/>
      <c r="D259" s="78"/>
      <c r="E259" s="77"/>
      <c r="F259" s="77"/>
    </row>
    <row r="260" customFormat="false" ht="15" hidden="false" customHeight="false" outlineLevel="0" collapsed="false">
      <c r="A260" s="75"/>
      <c r="B260" s="77"/>
      <c r="C260" s="77"/>
      <c r="D260" s="78"/>
      <c r="E260" s="77"/>
      <c r="F260" s="77"/>
    </row>
    <row r="261" customFormat="false" ht="15" hidden="false" customHeight="false" outlineLevel="0" collapsed="false">
      <c r="A261" s="75"/>
      <c r="B261" s="77"/>
      <c r="C261" s="77"/>
      <c r="D261" s="78"/>
      <c r="E261" s="77"/>
      <c r="F261" s="77"/>
    </row>
    <row r="262" customFormat="false" ht="15" hidden="false" customHeight="false" outlineLevel="0" collapsed="false">
      <c r="A262" s="75"/>
      <c r="B262" s="77"/>
      <c r="C262" s="77"/>
      <c r="D262" s="78"/>
      <c r="E262" s="77"/>
      <c r="F262" s="77"/>
    </row>
    <row r="263" customFormat="false" ht="15" hidden="false" customHeight="false" outlineLevel="0" collapsed="false">
      <c r="A263" s="75"/>
      <c r="B263" s="77"/>
      <c r="C263" s="77"/>
      <c r="D263" s="78"/>
      <c r="E263" s="77"/>
      <c r="F263" s="77"/>
    </row>
    <row r="264" customFormat="false" ht="15" hidden="false" customHeight="false" outlineLevel="0" collapsed="false">
      <c r="A264" s="75"/>
      <c r="B264" s="77"/>
      <c r="C264" s="77"/>
      <c r="D264" s="78"/>
      <c r="E264" s="77"/>
      <c r="F264" s="77"/>
    </row>
    <row r="265" customFormat="false" ht="15" hidden="false" customHeight="false" outlineLevel="0" collapsed="false">
      <c r="A265" s="75"/>
      <c r="B265" s="77"/>
      <c r="C265" s="77"/>
      <c r="D265" s="78"/>
      <c r="E265" s="77"/>
      <c r="F265" s="77"/>
    </row>
    <row r="266" customFormat="false" ht="15" hidden="false" customHeight="false" outlineLevel="0" collapsed="false">
      <c r="A266" s="75"/>
      <c r="B266" s="77"/>
      <c r="C266" s="77"/>
      <c r="D266" s="78"/>
      <c r="E266" s="77"/>
      <c r="F266" s="77"/>
    </row>
    <row r="267" customFormat="false" ht="15" hidden="false" customHeight="false" outlineLevel="0" collapsed="false">
      <c r="A267" s="75"/>
      <c r="B267" s="77"/>
      <c r="C267" s="77"/>
      <c r="D267" s="78"/>
      <c r="E267" s="77"/>
      <c r="F267" s="77"/>
    </row>
    <row r="268" customFormat="false" ht="15" hidden="false" customHeight="false" outlineLevel="0" collapsed="false">
      <c r="A268" s="75"/>
      <c r="B268" s="77"/>
      <c r="C268" s="77"/>
      <c r="D268" s="78"/>
      <c r="E268" s="77"/>
      <c r="F268" s="77"/>
    </row>
    <row r="269" customFormat="false" ht="15" hidden="false" customHeight="false" outlineLevel="0" collapsed="false">
      <c r="A269" s="75"/>
      <c r="B269" s="77"/>
      <c r="C269" s="77"/>
      <c r="D269" s="78"/>
      <c r="E269" s="77"/>
      <c r="F269" s="77"/>
    </row>
    <row r="270" customFormat="false" ht="15" hidden="false" customHeight="false" outlineLevel="0" collapsed="false">
      <c r="A270" s="75"/>
      <c r="B270" s="77"/>
      <c r="C270" s="77"/>
      <c r="D270" s="78"/>
      <c r="E270" s="77"/>
      <c r="F270" s="77"/>
    </row>
    <row r="271" customFormat="false" ht="15" hidden="false" customHeight="false" outlineLevel="0" collapsed="false">
      <c r="A271" s="75"/>
      <c r="B271" s="77"/>
      <c r="C271" s="77"/>
      <c r="D271" s="78"/>
      <c r="E271" s="77"/>
      <c r="F271" s="77"/>
    </row>
    <row r="272" customFormat="false" ht="15" hidden="false" customHeight="false" outlineLevel="0" collapsed="false">
      <c r="A272" s="75"/>
      <c r="B272" s="77"/>
      <c r="C272" s="77"/>
      <c r="D272" s="78"/>
      <c r="E272" s="77"/>
      <c r="F272" s="77"/>
    </row>
    <row r="273" customFormat="false" ht="15" hidden="false" customHeight="false" outlineLevel="0" collapsed="false">
      <c r="A273" s="75"/>
      <c r="B273" s="77"/>
      <c r="C273" s="77"/>
      <c r="D273" s="78"/>
      <c r="E273" s="77"/>
      <c r="F273" s="77"/>
    </row>
    <row r="274" customFormat="false" ht="15" hidden="false" customHeight="false" outlineLevel="0" collapsed="false">
      <c r="A274" s="75"/>
      <c r="B274" s="77"/>
      <c r="C274" s="77"/>
      <c r="D274" s="78"/>
      <c r="E274" s="77"/>
      <c r="F274" s="77"/>
    </row>
    <row r="275" customFormat="false" ht="15" hidden="false" customHeight="false" outlineLevel="0" collapsed="false">
      <c r="A275" s="75"/>
      <c r="B275" s="77"/>
      <c r="C275" s="77"/>
      <c r="D275" s="78"/>
      <c r="E275" s="77"/>
      <c r="F275" s="77"/>
    </row>
    <row r="276" customFormat="false" ht="15" hidden="false" customHeight="false" outlineLevel="0" collapsed="false">
      <c r="A276" s="75"/>
      <c r="B276" s="77"/>
      <c r="C276" s="77"/>
      <c r="D276" s="78"/>
      <c r="E276" s="77"/>
      <c r="F276" s="77"/>
    </row>
    <row r="277" customFormat="false" ht="15" hidden="false" customHeight="false" outlineLevel="0" collapsed="false">
      <c r="A277" s="75"/>
      <c r="B277" s="77"/>
      <c r="C277" s="77"/>
      <c r="D277" s="78"/>
      <c r="E277" s="77"/>
      <c r="F277" s="77"/>
    </row>
    <row r="278" customFormat="false" ht="15" hidden="false" customHeight="false" outlineLevel="0" collapsed="false">
      <c r="A278" s="75"/>
      <c r="B278" s="77"/>
      <c r="C278" s="77"/>
      <c r="D278" s="78"/>
      <c r="E278" s="77"/>
      <c r="F278" s="77"/>
    </row>
    <row r="279" customFormat="false" ht="15" hidden="false" customHeight="false" outlineLevel="0" collapsed="false">
      <c r="A279" s="75"/>
      <c r="B279" s="77"/>
      <c r="C279" s="77"/>
      <c r="D279" s="78"/>
      <c r="E279" s="77"/>
      <c r="F279" s="77"/>
    </row>
    <row r="280" customFormat="false" ht="15" hidden="false" customHeight="false" outlineLevel="0" collapsed="false">
      <c r="A280" s="75"/>
      <c r="B280" s="77"/>
      <c r="C280" s="77"/>
      <c r="D280" s="78"/>
      <c r="E280" s="77"/>
      <c r="F280" s="77"/>
    </row>
    <row r="281" customFormat="false" ht="15" hidden="false" customHeight="false" outlineLevel="0" collapsed="false">
      <c r="A281" s="75"/>
      <c r="B281" s="77"/>
      <c r="C281" s="77"/>
      <c r="D281" s="78"/>
      <c r="E281" s="77"/>
      <c r="F281" s="77"/>
    </row>
    <row r="282" customFormat="false" ht="15" hidden="false" customHeight="false" outlineLevel="0" collapsed="false">
      <c r="A282" s="75"/>
      <c r="B282" s="77"/>
      <c r="C282" s="77"/>
      <c r="D282" s="78"/>
      <c r="E282" s="77"/>
      <c r="F282" s="77"/>
    </row>
    <row r="283" customFormat="false" ht="15" hidden="false" customHeight="false" outlineLevel="0" collapsed="false">
      <c r="A283" s="75"/>
      <c r="B283" s="77"/>
      <c r="C283" s="77"/>
      <c r="D283" s="78"/>
      <c r="E283" s="77"/>
      <c r="F283" s="77"/>
    </row>
    <row r="284" customFormat="false" ht="15" hidden="false" customHeight="false" outlineLevel="0" collapsed="false">
      <c r="A284" s="75"/>
      <c r="B284" s="77"/>
      <c r="C284" s="77"/>
      <c r="D284" s="78"/>
      <c r="E284" s="77"/>
      <c r="F284" s="77"/>
    </row>
    <row r="285" customFormat="false" ht="15" hidden="false" customHeight="false" outlineLevel="0" collapsed="false">
      <c r="A285" s="75"/>
      <c r="B285" s="77"/>
      <c r="C285" s="77"/>
      <c r="D285" s="78"/>
      <c r="E285" s="77"/>
      <c r="F285" s="77"/>
    </row>
    <row r="286" customFormat="false" ht="15" hidden="false" customHeight="false" outlineLevel="0" collapsed="false">
      <c r="A286" s="75"/>
      <c r="B286" s="77"/>
      <c r="C286" s="77"/>
      <c r="D286" s="78"/>
      <c r="E286" s="77"/>
      <c r="F286" s="77"/>
    </row>
    <row r="287" customFormat="false" ht="15" hidden="false" customHeight="false" outlineLevel="0" collapsed="false">
      <c r="A287" s="75"/>
      <c r="B287" s="77"/>
      <c r="C287" s="77"/>
      <c r="D287" s="78"/>
      <c r="E287" s="77"/>
      <c r="F287" s="77"/>
    </row>
    <row r="288" customFormat="false" ht="15" hidden="false" customHeight="false" outlineLevel="0" collapsed="false">
      <c r="A288" s="75"/>
      <c r="B288" s="77"/>
      <c r="C288" s="77"/>
      <c r="D288" s="78"/>
      <c r="E288" s="77"/>
      <c r="F288" s="77"/>
    </row>
    <row r="289" customFormat="false" ht="15" hidden="false" customHeight="false" outlineLevel="0" collapsed="false">
      <c r="A289" s="75"/>
      <c r="B289" s="77"/>
      <c r="C289" s="77"/>
      <c r="D289" s="78"/>
      <c r="E289" s="77"/>
      <c r="F289" s="77"/>
    </row>
    <row r="290" customFormat="false" ht="15" hidden="false" customHeight="false" outlineLevel="0" collapsed="false">
      <c r="A290" s="75"/>
      <c r="B290" s="77"/>
      <c r="C290" s="77"/>
      <c r="D290" s="78"/>
      <c r="E290" s="77"/>
      <c r="F290" s="77"/>
    </row>
    <row r="291" customFormat="false" ht="15" hidden="false" customHeight="false" outlineLevel="0" collapsed="false">
      <c r="A291" s="75"/>
      <c r="B291" s="77"/>
      <c r="C291" s="77"/>
      <c r="D291" s="78"/>
      <c r="E291" s="77"/>
      <c r="F291" s="77"/>
    </row>
    <row r="292" customFormat="false" ht="15" hidden="false" customHeight="false" outlineLevel="0" collapsed="false">
      <c r="A292" s="75"/>
      <c r="B292" s="77"/>
      <c r="C292" s="77"/>
      <c r="D292" s="78"/>
      <c r="E292" s="77"/>
      <c r="F292" s="77"/>
    </row>
    <row r="293" customFormat="false" ht="15" hidden="false" customHeight="false" outlineLevel="0" collapsed="false">
      <c r="A293" s="75"/>
      <c r="B293" s="77"/>
      <c r="C293" s="77"/>
      <c r="D293" s="78"/>
      <c r="E293" s="77"/>
      <c r="F293" s="77"/>
    </row>
    <row r="294" customFormat="false" ht="15" hidden="false" customHeight="false" outlineLevel="0" collapsed="false">
      <c r="A294" s="75"/>
      <c r="B294" s="77"/>
      <c r="C294" s="77"/>
      <c r="D294" s="78"/>
      <c r="E294" s="77"/>
      <c r="F294" s="77"/>
    </row>
    <row r="295" customFormat="false" ht="15" hidden="false" customHeight="false" outlineLevel="0" collapsed="false">
      <c r="A295" s="75"/>
      <c r="B295" s="77"/>
      <c r="C295" s="77"/>
      <c r="D295" s="78"/>
      <c r="E295" s="77"/>
      <c r="F295" s="77"/>
    </row>
    <row r="296" customFormat="false" ht="15" hidden="false" customHeight="false" outlineLevel="0" collapsed="false">
      <c r="A296" s="75"/>
      <c r="B296" s="77"/>
      <c r="C296" s="77"/>
      <c r="D296" s="78"/>
      <c r="E296" s="77"/>
      <c r="F296" s="77"/>
    </row>
    <row r="297" customFormat="false" ht="15" hidden="false" customHeight="false" outlineLevel="0" collapsed="false">
      <c r="A297" s="75"/>
      <c r="B297" s="77"/>
      <c r="C297" s="77"/>
      <c r="D297" s="78"/>
      <c r="E297" s="77"/>
      <c r="F297" s="77"/>
    </row>
    <row r="298" customFormat="false" ht="15" hidden="false" customHeight="false" outlineLevel="0" collapsed="false">
      <c r="A298" s="75"/>
      <c r="B298" s="77"/>
      <c r="C298" s="77"/>
      <c r="D298" s="78"/>
      <c r="E298" s="77"/>
      <c r="F298" s="77"/>
    </row>
    <row r="299" customFormat="false" ht="15" hidden="false" customHeight="false" outlineLevel="0" collapsed="false">
      <c r="A299" s="75"/>
      <c r="B299" s="77"/>
      <c r="C299" s="77"/>
      <c r="D299" s="78"/>
      <c r="E299" s="77"/>
      <c r="F299" s="77"/>
    </row>
    <row r="300" customFormat="false" ht="15" hidden="false" customHeight="false" outlineLevel="0" collapsed="false">
      <c r="A300" s="75"/>
      <c r="B300" s="77"/>
      <c r="C300" s="77"/>
      <c r="D300" s="78"/>
      <c r="E300" s="77"/>
      <c r="F300" s="77"/>
    </row>
    <row r="301" customFormat="false" ht="15" hidden="false" customHeight="false" outlineLevel="0" collapsed="false">
      <c r="A301" s="75"/>
      <c r="B301" s="77"/>
      <c r="C301" s="77"/>
      <c r="D301" s="78"/>
      <c r="E301" s="77"/>
      <c r="F301" s="77"/>
    </row>
    <row r="302" customFormat="false" ht="15" hidden="false" customHeight="false" outlineLevel="0" collapsed="false">
      <c r="A302" s="75"/>
      <c r="B302" s="77"/>
      <c r="C302" s="77"/>
      <c r="D302" s="78"/>
      <c r="E302" s="77"/>
      <c r="F302" s="77"/>
    </row>
    <row r="303" customFormat="false" ht="15" hidden="false" customHeight="false" outlineLevel="0" collapsed="false">
      <c r="A303" s="75"/>
      <c r="B303" s="77"/>
      <c r="C303" s="77"/>
      <c r="D303" s="78"/>
      <c r="E303" s="77"/>
      <c r="F303" s="77"/>
    </row>
    <row r="304" customFormat="false" ht="15" hidden="false" customHeight="false" outlineLevel="0" collapsed="false">
      <c r="A304" s="75"/>
      <c r="B304" s="77"/>
      <c r="C304" s="77"/>
      <c r="D304" s="78"/>
      <c r="E304" s="77"/>
      <c r="F304" s="77"/>
    </row>
    <row r="305" customFormat="false" ht="15" hidden="false" customHeight="false" outlineLevel="0" collapsed="false">
      <c r="A305" s="75"/>
      <c r="B305" s="77"/>
      <c r="C305" s="77"/>
      <c r="D305" s="78"/>
      <c r="E305" s="77"/>
      <c r="F305" s="77"/>
    </row>
    <row r="306" customFormat="false" ht="15" hidden="false" customHeight="false" outlineLevel="0" collapsed="false">
      <c r="A306" s="75"/>
      <c r="B306" s="77"/>
      <c r="C306" s="77"/>
      <c r="D306" s="78"/>
      <c r="E306" s="77"/>
      <c r="F306" s="77"/>
    </row>
    <row r="307" customFormat="false" ht="15" hidden="false" customHeight="false" outlineLevel="0" collapsed="false">
      <c r="A307" s="75"/>
      <c r="B307" s="77"/>
      <c r="C307" s="77"/>
      <c r="D307" s="78"/>
      <c r="E307" s="77"/>
      <c r="F307" s="77"/>
    </row>
    <row r="308" customFormat="false" ht="15" hidden="false" customHeight="false" outlineLevel="0" collapsed="false">
      <c r="A308" s="75"/>
      <c r="B308" s="77"/>
      <c r="C308" s="77"/>
      <c r="D308" s="78"/>
      <c r="E308" s="77"/>
      <c r="F308" s="77"/>
    </row>
    <row r="309" customFormat="false" ht="15" hidden="false" customHeight="false" outlineLevel="0" collapsed="false">
      <c r="A309" s="75"/>
      <c r="B309" s="77"/>
      <c r="C309" s="77"/>
      <c r="D309" s="78"/>
      <c r="E309" s="77"/>
      <c r="F309" s="77"/>
    </row>
    <row r="310" customFormat="false" ht="15" hidden="false" customHeight="false" outlineLevel="0" collapsed="false">
      <c r="A310" s="75"/>
      <c r="B310" s="77"/>
      <c r="C310" s="77"/>
      <c r="D310" s="78"/>
      <c r="E310" s="77"/>
      <c r="F310" s="77"/>
    </row>
    <row r="311" customFormat="false" ht="15" hidden="false" customHeight="false" outlineLevel="0" collapsed="false">
      <c r="A311" s="75"/>
      <c r="B311" s="77"/>
      <c r="C311" s="77"/>
      <c r="D311" s="78"/>
      <c r="E311" s="77"/>
      <c r="F311" s="77"/>
    </row>
    <row r="312" customFormat="false" ht="15" hidden="false" customHeight="false" outlineLevel="0" collapsed="false">
      <c r="A312" s="75"/>
      <c r="B312" s="77"/>
      <c r="C312" s="77"/>
      <c r="D312" s="78"/>
      <c r="E312" s="77"/>
      <c r="F312" s="77"/>
    </row>
    <row r="313" customFormat="false" ht="15" hidden="false" customHeight="false" outlineLevel="0" collapsed="false">
      <c r="A313" s="75"/>
      <c r="B313" s="77"/>
      <c r="C313" s="77"/>
      <c r="D313" s="78"/>
      <c r="E313" s="77"/>
      <c r="F313" s="77"/>
    </row>
    <row r="314" customFormat="false" ht="15" hidden="false" customHeight="false" outlineLevel="0" collapsed="false">
      <c r="A314" s="75"/>
      <c r="B314" s="77"/>
      <c r="C314" s="77"/>
      <c r="D314" s="78"/>
      <c r="E314" s="77"/>
      <c r="F314" s="77"/>
    </row>
    <row r="315" customFormat="false" ht="15" hidden="false" customHeight="false" outlineLevel="0" collapsed="false">
      <c r="A315" s="75"/>
      <c r="B315" s="77"/>
      <c r="C315" s="77"/>
      <c r="D315" s="78"/>
      <c r="E315" s="77"/>
      <c r="F315" s="77"/>
    </row>
    <row r="316" customFormat="false" ht="15" hidden="false" customHeight="false" outlineLevel="0" collapsed="false">
      <c r="A316" s="75"/>
      <c r="B316" s="77"/>
      <c r="C316" s="77"/>
      <c r="D316" s="78"/>
      <c r="E316" s="77"/>
      <c r="F316" s="77"/>
    </row>
    <row r="317" customFormat="false" ht="15" hidden="false" customHeight="false" outlineLevel="0" collapsed="false">
      <c r="A317" s="75"/>
      <c r="B317" s="77"/>
      <c r="C317" s="77"/>
      <c r="D317" s="78"/>
      <c r="E317" s="77"/>
      <c r="F317" s="77"/>
    </row>
    <row r="318" customFormat="false" ht="15" hidden="false" customHeight="false" outlineLevel="0" collapsed="false">
      <c r="A318" s="75"/>
      <c r="B318" s="77"/>
      <c r="C318" s="77"/>
      <c r="D318" s="78"/>
      <c r="E318" s="77"/>
      <c r="F318" s="77"/>
    </row>
    <row r="319" customFormat="false" ht="15" hidden="false" customHeight="false" outlineLevel="0" collapsed="false">
      <c r="A319" s="75"/>
      <c r="B319" s="77"/>
      <c r="C319" s="77"/>
      <c r="D319" s="78"/>
      <c r="E319" s="77"/>
      <c r="F319" s="77"/>
    </row>
    <row r="320" customFormat="false" ht="15" hidden="false" customHeight="false" outlineLevel="0" collapsed="false">
      <c r="A320" s="75"/>
      <c r="B320" s="77"/>
      <c r="C320" s="77"/>
      <c r="D320" s="78"/>
      <c r="E320" s="77"/>
      <c r="F320" s="77"/>
    </row>
    <row r="321" customFormat="false" ht="15" hidden="false" customHeight="false" outlineLevel="0" collapsed="false">
      <c r="A321" s="75"/>
      <c r="B321" s="77"/>
      <c r="C321" s="77"/>
      <c r="D321" s="78"/>
      <c r="E321" s="77"/>
      <c r="F321" s="77"/>
    </row>
    <row r="322" customFormat="false" ht="15" hidden="false" customHeight="false" outlineLevel="0" collapsed="false">
      <c r="A322" s="75"/>
      <c r="B322" s="77"/>
      <c r="C322" s="77"/>
      <c r="D322" s="78"/>
      <c r="E322" s="77"/>
      <c r="F322" s="77"/>
    </row>
    <row r="323" customFormat="false" ht="15" hidden="false" customHeight="false" outlineLevel="0" collapsed="false">
      <c r="A323" s="75"/>
      <c r="B323" s="77"/>
      <c r="C323" s="77"/>
      <c r="D323" s="78"/>
      <c r="E323" s="77"/>
      <c r="F323" s="77"/>
    </row>
    <row r="324" customFormat="false" ht="15" hidden="false" customHeight="false" outlineLevel="0" collapsed="false">
      <c r="A324" s="75"/>
      <c r="B324" s="77"/>
      <c r="C324" s="77"/>
      <c r="D324" s="78"/>
      <c r="E324" s="77"/>
      <c r="F324" s="77"/>
    </row>
    <row r="325" customFormat="false" ht="15" hidden="false" customHeight="false" outlineLevel="0" collapsed="false">
      <c r="A325" s="75"/>
      <c r="B325" s="77"/>
      <c r="C325" s="77"/>
      <c r="D325" s="78"/>
      <c r="E325" s="77"/>
      <c r="F325" s="77"/>
    </row>
    <row r="326" customFormat="false" ht="15" hidden="false" customHeight="false" outlineLevel="0" collapsed="false">
      <c r="A326" s="75"/>
      <c r="B326" s="77"/>
      <c r="C326" s="77"/>
      <c r="D326" s="78"/>
      <c r="E326" s="77"/>
      <c r="F326" s="77"/>
    </row>
    <row r="327" customFormat="false" ht="15" hidden="false" customHeight="false" outlineLevel="0" collapsed="false">
      <c r="A327" s="75"/>
      <c r="B327" s="77"/>
      <c r="C327" s="77"/>
      <c r="D327" s="78"/>
      <c r="E327" s="77"/>
      <c r="F327" s="77"/>
    </row>
    <row r="328" customFormat="false" ht="15" hidden="false" customHeight="false" outlineLevel="0" collapsed="false">
      <c r="A328" s="75"/>
      <c r="B328" s="77"/>
      <c r="C328" s="77"/>
      <c r="D328" s="78"/>
      <c r="E328" s="77"/>
      <c r="F328" s="77"/>
    </row>
    <row r="329" customFormat="false" ht="15" hidden="false" customHeight="false" outlineLevel="0" collapsed="false">
      <c r="A329" s="75"/>
      <c r="B329" s="77"/>
      <c r="C329" s="77"/>
      <c r="D329" s="78"/>
      <c r="E329" s="77"/>
      <c r="F329" s="77"/>
    </row>
    <row r="330" customFormat="false" ht="15" hidden="false" customHeight="false" outlineLevel="0" collapsed="false">
      <c r="A330" s="75"/>
      <c r="B330" s="77"/>
      <c r="C330" s="77"/>
      <c r="D330" s="78"/>
      <c r="E330" s="77"/>
      <c r="F330" s="77"/>
    </row>
    <row r="331" customFormat="false" ht="15" hidden="false" customHeight="false" outlineLevel="0" collapsed="false">
      <c r="A331" s="75"/>
      <c r="B331" s="77"/>
      <c r="C331" s="77"/>
      <c r="D331" s="78"/>
      <c r="E331" s="77"/>
      <c r="F331" s="77"/>
    </row>
    <row r="332" customFormat="false" ht="15" hidden="false" customHeight="false" outlineLevel="0" collapsed="false">
      <c r="A332" s="75"/>
      <c r="B332" s="77"/>
      <c r="C332" s="77"/>
      <c r="D332" s="78"/>
      <c r="E332" s="77"/>
      <c r="F332" s="77"/>
    </row>
    <row r="333" customFormat="false" ht="15" hidden="false" customHeight="false" outlineLevel="0" collapsed="false">
      <c r="A333" s="75"/>
      <c r="B333" s="77"/>
      <c r="C333" s="77"/>
      <c r="D333" s="78"/>
      <c r="E333" s="77"/>
      <c r="F333" s="77"/>
    </row>
    <row r="334" customFormat="false" ht="15" hidden="false" customHeight="false" outlineLevel="0" collapsed="false">
      <c r="A334" s="75"/>
      <c r="B334" s="77"/>
      <c r="C334" s="77"/>
      <c r="D334" s="78"/>
      <c r="E334" s="77"/>
      <c r="F334" s="77"/>
    </row>
    <row r="335" customFormat="false" ht="15" hidden="false" customHeight="false" outlineLevel="0" collapsed="false">
      <c r="A335" s="75"/>
      <c r="B335" s="77"/>
      <c r="C335" s="77"/>
      <c r="D335" s="78"/>
      <c r="E335" s="77"/>
      <c r="F335" s="77"/>
    </row>
    <row r="336" customFormat="false" ht="15" hidden="false" customHeight="false" outlineLevel="0" collapsed="false">
      <c r="A336" s="75"/>
      <c r="B336" s="77"/>
      <c r="C336" s="77"/>
      <c r="D336" s="78"/>
      <c r="E336" s="77"/>
      <c r="F336" s="77"/>
    </row>
    <row r="337" customFormat="false" ht="15" hidden="false" customHeight="false" outlineLevel="0" collapsed="false">
      <c r="A337" s="75"/>
      <c r="B337" s="77"/>
      <c r="C337" s="77"/>
      <c r="D337" s="78"/>
      <c r="E337" s="77"/>
      <c r="F337" s="77"/>
    </row>
    <row r="338" customFormat="false" ht="15" hidden="false" customHeight="false" outlineLevel="0" collapsed="false">
      <c r="A338" s="75"/>
      <c r="B338" s="77"/>
      <c r="C338" s="77"/>
      <c r="D338" s="78"/>
      <c r="E338" s="77"/>
      <c r="F338" s="77"/>
    </row>
    <row r="339" customFormat="false" ht="15" hidden="false" customHeight="false" outlineLevel="0" collapsed="false">
      <c r="A339" s="75"/>
      <c r="B339" s="77"/>
      <c r="C339" s="77"/>
      <c r="D339" s="78"/>
      <c r="E339" s="77"/>
      <c r="F339" s="77"/>
    </row>
    <row r="340" customFormat="false" ht="15" hidden="false" customHeight="false" outlineLevel="0" collapsed="false">
      <c r="A340" s="75"/>
      <c r="B340" s="77"/>
      <c r="C340" s="77"/>
      <c r="D340" s="78"/>
      <c r="E340" s="77"/>
      <c r="F340" s="77"/>
    </row>
    <row r="341" customFormat="false" ht="15" hidden="false" customHeight="false" outlineLevel="0" collapsed="false">
      <c r="A341" s="75"/>
      <c r="B341" s="77"/>
      <c r="C341" s="77"/>
      <c r="D341" s="78"/>
      <c r="E341" s="77"/>
      <c r="F341" s="77"/>
    </row>
    <row r="342" customFormat="false" ht="15" hidden="false" customHeight="false" outlineLevel="0" collapsed="false">
      <c r="A342" s="75"/>
      <c r="B342" s="77"/>
      <c r="C342" s="77"/>
      <c r="D342" s="78"/>
      <c r="E342" s="77"/>
      <c r="F342" s="77"/>
    </row>
    <row r="343" customFormat="false" ht="15" hidden="false" customHeight="false" outlineLevel="0" collapsed="false">
      <c r="A343" s="75"/>
      <c r="B343" s="77"/>
      <c r="C343" s="77"/>
      <c r="D343" s="78"/>
      <c r="E343" s="77"/>
      <c r="F343" s="77"/>
    </row>
    <row r="344" customFormat="false" ht="15" hidden="false" customHeight="false" outlineLevel="0" collapsed="false">
      <c r="A344" s="75"/>
      <c r="B344" s="77"/>
      <c r="C344" s="77"/>
      <c r="D344" s="78"/>
      <c r="E344" s="77"/>
      <c r="F344" s="77"/>
    </row>
    <row r="345" customFormat="false" ht="15" hidden="false" customHeight="false" outlineLevel="0" collapsed="false">
      <c r="A345" s="75"/>
      <c r="B345" s="77"/>
      <c r="C345" s="77"/>
      <c r="D345" s="78"/>
      <c r="E345" s="77"/>
      <c r="F345" s="77"/>
    </row>
    <row r="346" customFormat="false" ht="15" hidden="false" customHeight="false" outlineLevel="0" collapsed="false">
      <c r="A346" s="75"/>
      <c r="B346" s="77"/>
      <c r="C346" s="77"/>
      <c r="D346" s="78"/>
      <c r="E346" s="77"/>
      <c r="F346" s="77"/>
    </row>
    <row r="347" customFormat="false" ht="15" hidden="false" customHeight="false" outlineLevel="0" collapsed="false">
      <c r="A347" s="75"/>
      <c r="B347" s="77"/>
      <c r="C347" s="77"/>
      <c r="D347" s="78"/>
      <c r="E347" s="77"/>
      <c r="F347" s="77"/>
    </row>
    <row r="348" customFormat="false" ht="15" hidden="false" customHeight="false" outlineLevel="0" collapsed="false">
      <c r="A348" s="75"/>
      <c r="B348" s="77"/>
      <c r="C348" s="77"/>
      <c r="D348" s="78"/>
      <c r="E348" s="77"/>
      <c r="F348" s="77"/>
    </row>
    <row r="349" customFormat="false" ht="15" hidden="false" customHeight="false" outlineLevel="0" collapsed="false">
      <c r="A349" s="75"/>
      <c r="B349" s="77"/>
      <c r="C349" s="77"/>
      <c r="D349" s="78"/>
      <c r="E349" s="77"/>
      <c r="F349" s="77"/>
    </row>
    <row r="350" customFormat="false" ht="15" hidden="false" customHeight="false" outlineLevel="0" collapsed="false">
      <c r="A350" s="75"/>
      <c r="B350" s="77"/>
      <c r="C350" s="77"/>
      <c r="D350" s="78"/>
      <c r="E350" s="77"/>
      <c r="F350" s="77"/>
    </row>
    <row r="351" customFormat="false" ht="15" hidden="false" customHeight="false" outlineLevel="0" collapsed="false">
      <c r="A351" s="75"/>
      <c r="B351" s="77"/>
      <c r="C351" s="77"/>
      <c r="D351" s="78"/>
      <c r="E351" s="77"/>
      <c r="F351" s="77"/>
    </row>
    <row r="352" customFormat="false" ht="15" hidden="false" customHeight="false" outlineLevel="0" collapsed="false">
      <c r="A352" s="75"/>
      <c r="B352" s="77"/>
      <c r="C352" s="77"/>
      <c r="D352" s="78"/>
      <c r="E352" s="77"/>
      <c r="F352" s="77"/>
    </row>
    <row r="353" customFormat="false" ht="15" hidden="false" customHeight="false" outlineLevel="0" collapsed="false">
      <c r="A353" s="75"/>
      <c r="B353" s="77"/>
      <c r="C353" s="77"/>
      <c r="D353" s="78"/>
      <c r="E353" s="77"/>
      <c r="F353" s="77"/>
    </row>
    <row r="354" customFormat="false" ht="15" hidden="false" customHeight="false" outlineLevel="0" collapsed="false">
      <c r="A354" s="75"/>
      <c r="B354" s="77"/>
      <c r="C354" s="77"/>
      <c r="D354" s="78"/>
      <c r="E354" s="77"/>
      <c r="F354" s="77"/>
    </row>
    <row r="355" customFormat="false" ht="15" hidden="false" customHeight="false" outlineLevel="0" collapsed="false">
      <c r="A355" s="75"/>
      <c r="B355" s="77"/>
      <c r="C355" s="77"/>
      <c r="D355" s="78"/>
      <c r="E355" s="77"/>
      <c r="F355" s="77"/>
    </row>
    <row r="356" customFormat="false" ht="15" hidden="false" customHeight="false" outlineLevel="0" collapsed="false">
      <c r="A356" s="75"/>
      <c r="B356" s="77"/>
      <c r="C356" s="77"/>
      <c r="D356" s="78"/>
      <c r="E356" s="77"/>
      <c r="F356" s="77"/>
    </row>
    <row r="357" customFormat="false" ht="15" hidden="false" customHeight="false" outlineLevel="0" collapsed="false">
      <c r="A357" s="75"/>
      <c r="B357" s="77"/>
      <c r="C357" s="77"/>
      <c r="D357" s="78"/>
      <c r="E357" s="77"/>
      <c r="F357" s="77"/>
    </row>
    <row r="358" customFormat="false" ht="15" hidden="false" customHeight="false" outlineLevel="0" collapsed="false">
      <c r="A358" s="75"/>
      <c r="B358" s="77"/>
      <c r="C358" s="77"/>
      <c r="D358" s="78"/>
      <c r="E358" s="77"/>
      <c r="F358" s="77"/>
    </row>
    <row r="359" customFormat="false" ht="15" hidden="false" customHeight="false" outlineLevel="0" collapsed="false">
      <c r="A359" s="75"/>
      <c r="B359" s="77"/>
      <c r="C359" s="77"/>
      <c r="D359" s="78"/>
      <c r="E359" s="77"/>
      <c r="F359" s="77"/>
    </row>
    <row r="360" customFormat="false" ht="15" hidden="false" customHeight="false" outlineLevel="0" collapsed="false">
      <c r="A360" s="75"/>
      <c r="B360" s="77"/>
      <c r="C360" s="77"/>
      <c r="D360" s="78"/>
      <c r="E360" s="77"/>
      <c r="F360" s="77"/>
    </row>
    <row r="361" customFormat="false" ht="15" hidden="false" customHeight="false" outlineLevel="0" collapsed="false">
      <c r="A361" s="75"/>
      <c r="B361" s="77"/>
      <c r="C361" s="77"/>
      <c r="D361" s="78"/>
      <c r="E361" s="77"/>
      <c r="F361" s="77"/>
    </row>
    <row r="362" customFormat="false" ht="15" hidden="false" customHeight="false" outlineLevel="0" collapsed="false">
      <c r="A362" s="75"/>
      <c r="B362" s="77"/>
      <c r="C362" s="77"/>
      <c r="D362" s="78"/>
      <c r="E362" s="77"/>
      <c r="F362" s="77"/>
    </row>
    <row r="363" customFormat="false" ht="15" hidden="false" customHeight="false" outlineLevel="0" collapsed="false">
      <c r="A363" s="75"/>
      <c r="B363" s="77"/>
      <c r="C363" s="77"/>
      <c r="D363" s="78"/>
      <c r="E363" s="77"/>
      <c r="F363" s="77"/>
    </row>
    <row r="364" customFormat="false" ht="15" hidden="false" customHeight="false" outlineLevel="0" collapsed="false">
      <c r="A364" s="75"/>
      <c r="B364" s="77"/>
      <c r="C364" s="77"/>
      <c r="D364" s="78"/>
      <c r="E364" s="77"/>
      <c r="F364" s="77"/>
    </row>
    <row r="365" customFormat="false" ht="15" hidden="false" customHeight="false" outlineLevel="0" collapsed="false">
      <c r="A365" s="75"/>
      <c r="B365" s="77"/>
      <c r="C365" s="77"/>
      <c r="D365" s="78"/>
      <c r="E365" s="77"/>
      <c r="F365" s="77"/>
    </row>
    <row r="366" customFormat="false" ht="15" hidden="false" customHeight="false" outlineLevel="0" collapsed="false">
      <c r="A366" s="75"/>
      <c r="B366" s="77"/>
      <c r="C366" s="77"/>
      <c r="D366" s="78"/>
      <c r="E366" s="77"/>
      <c r="F366" s="77"/>
    </row>
    <row r="367" customFormat="false" ht="15" hidden="false" customHeight="false" outlineLevel="0" collapsed="false">
      <c r="A367" s="75"/>
      <c r="B367" s="77"/>
      <c r="C367" s="77"/>
      <c r="D367" s="78"/>
      <c r="E367" s="77"/>
      <c r="F367" s="77"/>
    </row>
    <row r="368" customFormat="false" ht="15" hidden="false" customHeight="false" outlineLevel="0" collapsed="false">
      <c r="A368" s="75"/>
      <c r="B368" s="77"/>
      <c r="C368" s="77"/>
      <c r="D368" s="78"/>
      <c r="E368" s="77"/>
      <c r="F368" s="77"/>
    </row>
    <row r="369" customFormat="false" ht="15" hidden="false" customHeight="false" outlineLevel="0" collapsed="false">
      <c r="A369" s="75"/>
      <c r="B369" s="77"/>
      <c r="C369" s="77"/>
      <c r="D369" s="78"/>
      <c r="E369" s="77"/>
      <c r="F369" s="77"/>
    </row>
    <row r="370" customFormat="false" ht="15" hidden="false" customHeight="false" outlineLevel="0" collapsed="false">
      <c r="A370" s="75"/>
      <c r="B370" s="77"/>
      <c r="C370" s="77"/>
      <c r="D370" s="78"/>
      <c r="E370" s="77"/>
      <c r="F370" s="77"/>
    </row>
    <row r="371" customFormat="false" ht="15" hidden="false" customHeight="false" outlineLevel="0" collapsed="false">
      <c r="A371" s="75"/>
      <c r="B371" s="77"/>
      <c r="C371" s="77"/>
      <c r="D371" s="78"/>
      <c r="E371" s="77"/>
      <c r="F371" s="77"/>
    </row>
    <row r="372" customFormat="false" ht="15" hidden="false" customHeight="false" outlineLevel="0" collapsed="false">
      <c r="A372" s="75"/>
      <c r="B372" s="77"/>
      <c r="C372" s="77"/>
      <c r="D372" s="78"/>
      <c r="E372" s="77"/>
      <c r="F372" s="77"/>
    </row>
    <row r="373" customFormat="false" ht="15" hidden="false" customHeight="false" outlineLevel="0" collapsed="false">
      <c r="A373" s="75"/>
      <c r="B373" s="77"/>
      <c r="C373" s="77"/>
      <c r="D373" s="78"/>
      <c r="E373" s="77"/>
      <c r="F373" s="77"/>
    </row>
    <row r="374" customFormat="false" ht="15" hidden="false" customHeight="false" outlineLevel="0" collapsed="false">
      <c r="A374" s="75"/>
      <c r="B374" s="77"/>
      <c r="C374" s="77"/>
      <c r="D374" s="78"/>
      <c r="E374" s="77"/>
      <c r="F374" s="77"/>
    </row>
    <row r="375" customFormat="false" ht="15" hidden="false" customHeight="false" outlineLevel="0" collapsed="false">
      <c r="A375" s="75"/>
      <c r="B375" s="77"/>
      <c r="C375" s="77"/>
      <c r="D375" s="78"/>
      <c r="E375" s="77"/>
      <c r="F375" s="77"/>
    </row>
    <row r="376" customFormat="false" ht="15" hidden="false" customHeight="false" outlineLevel="0" collapsed="false">
      <c r="A376" s="75"/>
      <c r="B376" s="77"/>
      <c r="C376" s="77"/>
      <c r="D376" s="78"/>
      <c r="E376" s="77"/>
      <c r="F376" s="77"/>
    </row>
    <row r="377" customFormat="false" ht="15" hidden="false" customHeight="false" outlineLevel="0" collapsed="false">
      <c r="A377" s="75"/>
      <c r="B377" s="77"/>
      <c r="C377" s="77"/>
      <c r="D377" s="78"/>
      <c r="E377" s="77"/>
      <c r="F377" s="77"/>
    </row>
    <row r="378" customFormat="false" ht="15" hidden="false" customHeight="false" outlineLevel="0" collapsed="false">
      <c r="A378" s="75"/>
      <c r="B378" s="77"/>
      <c r="C378" s="77"/>
      <c r="D378" s="78"/>
      <c r="E378" s="77"/>
      <c r="F378" s="77"/>
    </row>
    <row r="379" customFormat="false" ht="15" hidden="false" customHeight="false" outlineLevel="0" collapsed="false">
      <c r="A379" s="75"/>
      <c r="B379" s="77"/>
      <c r="C379" s="77"/>
      <c r="D379" s="78"/>
      <c r="E379" s="77"/>
      <c r="F379" s="77"/>
    </row>
    <row r="380" customFormat="false" ht="15" hidden="false" customHeight="false" outlineLevel="0" collapsed="false">
      <c r="A380" s="75"/>
      <c r="B380" s="77"/>
      <c r="C380" s="77"/>
      <c r="D380" s="78"/>
      <c r="E380" s="77"/>
      <c r="F380" s="77"/>
    </row>
    <row r="381" customFormat="false" ht="15" hidden="false" customHeight="false" outlineLevel="0" collapsed="false">
      <c r="A381" s="75"/>
      <c r="B381" s="77"/>
      <c r="C381" s="77"/>
      <c r="D381" s="78"/>
      <c r="E381" s="77"/>
      <c r="F381" s="77"/>
    </row>
    <row r="382" customFormat="false" ht="15" hidden="false" customHeight="false" outlineLevel="0" collapsed="false">
      <c r="A382" s="75"/>
      <c r="B382" s="77"/>
      <c r="C382" s="77"/>
      <c r="D382" s="78"/>
      <c r="E382" s="77"/>
      <c r="F382" s="77"/>
    </row>
    <row r="383" customFormat="false" ht="15" hidden="false" customHeight="false" outlineLevel="0" collapsed="false">
      <c r="A383" s="75"/>
      <c r="B383" s="77"/>
      <c r="C383" s="77"/>
      <c r="D383" s="78"/>
      <c r="E383" s="77"/>
      <c r="F383" s="77"/>
    </row>
    <row r="384" customFormat="false" ht="15" hidden="false" customHeight="false" outlineLevel="0" collapsed="false">
      <c r="A384" s="75"/>
      <c r="B384" s="77"/>
      <c r="C384" s="77"/>
      <c r="D384" s="78"/>
      <c r="E384" s="77"/>
      <c r="F384" s="77"/>
    </row>
    <row r="385" customFormat="false" ht="15" hidden="false" customHeight="false" outlineLevel="0" collapsed="false">
      <c r="A385" s="75"/>
      <c r="B385" s="77"/>
      <c r="C385" s="77"/>
      <c r="D385" s="78"/>
      <c r="E385" s="77"/>
      <c r="F385" s="77"/>
    </row>
    <row r="386" customFormat="false" ht="15" hidden="false" customHeight="false" outlineLevel="0" collapsed="false">
      <c r="A386" s="75"/>
      <c r="B386" s="77"/>
      <c r="C386" s="77"/>
      <c r="D386" s="78"/>
      <c r="E386" s="77"/>
      <c r="F386" s="77"/>
    </row>
    <row r="387" customFormat="false" ht="15" hidden="false" customHeight="false" outlineLevel="0" collapsed="false">
      <c r="A387" s="75"/>
      <c r="B387" s="77"/>
      <c r="C387" s="77"/>
      <c r="D387" s="78"/>
      <c r="E387" s="77"/>
      <c r="F387" s="77"/>
    </row>
    <row r="388" customFormat="false" ht="15" hidden="false" customHeight="false" outlineLevel="0" collapsed="false">
      <c r="A388" s="75"/>
      <c r="B388" s="77"/>
      <c r="C388" s="77"/>
      <c r="D388" s="78"/>
      <c r="E388" s="77"/>
      <c r="F388" s="77"/>
    </row>
    <row r="389" customFormat="false" ht="15" hidden="false" customHeight="false" outlineLevel="0" collapsed="false">
      <c r="A389" s="75"/>
      <c r="B389" s="77"/>
      <c r="C389" s="77"/>
      <c r="D389" s="78"/>
      <c r="E389" s="77"/>
      <c r="F389" s="77"/>
    </row>
    <row r="390" customFormat="false" ht="15" hidden="false" customHeight="false" outlineLevel="0" collapsed="false">
      <c r="A390" s="75"/>
      <c r="B390" s="77"/>
      <c r="C390" s="77"/>
      <c r="D390" s="78"/>
      <c r="E390" s="77"/>
      <c r="F390" s="77"/>
    </row>
    <row r="391" customFormat="false" ht="15" hidden="false" customHeight="false" outlineLevel="0" collapsed="false">
      <c r="A391" s="75"/>
      <c r="B391" s="77"/>
      <c r="C391" s="77"/>
      <c r="D391" s="78"/>
      <c r="E391" s="77"/>
      <c r="F391" s="77"/>
    </row>
    <row r="392" customFormat="false" ht="15" hidden="false" customHeight="false" outlineLevel="0" collapsed="false">
      <c r="A392" s="75"/>
      <c r="B392" s="77"/>
      <c r="C392" s="77"/>
      <c r="D392" s="78"/>
      <c r="E392" s="77"/>
      <c r="F392" s="77"/>
    </row>
    <row r="393" customFormat="false" ht="15" hidden="false" customHeight="false" outlineLevel="0" collapsed="false">
      <c r="A393" s="75"/>
      <c r="B393" s="77"/>
      <c r="C393" s="77"/>
      <c r="D393" s="78"/>
      <c r="E393" s="77"/>
      <c r="F393" s="77"/>
    </row>
    <row r="394" customFormat="false" ht="15" hidden="false" customHeight="false" outlineLevel="0" collapsed="false">
      <c r="A394" s="75"/>
      <c r="B394" s="77"/>
      <c r="C394" s="77"/>
      <c r="D394" s="78"/>
      <c r="E394" s="77"/>
      <c r="F394" s="77"/>
    </row>
    <row r="395" customFormat="false" ht="15" hidden="false" customHeight="false" outlineLevel="0" collapsed="false">
      <c r="A395" s="75"/>
      <c r="B395" s="77"/>
      <c r="C395" s="77"/>
      <c r="D395" s="78"/>
      <c r="E395" s="77"/>
      <c r="F395" s="77"/>
    </row>
    <row r="396" customFormat="false" ht="15" hidden="false" customHeight="false" outlineLevel="0" collapsed="false">
      <c r="A396" s="75"/>
      <c r="B396" s="77"/>
      <c r="C396" s="77"/>
      <c r="D396" s="78"/>
      <c r="E396" s="77"/>
      <c r="F396" s="77"/>
    </row>
    <row r="397" customFormat="false" ht="15" hidden="false" customHeight="false" outlineLevel="0" collapsed="false">
      <c r="A397" s="75"/>
      <c r="B397" s="77"/>
      <c r="C397" s="77"/>
      <c r="D397" s="78"/>
      <c r="E397" s="77"/>
      <c r="F397" s="77"/>
    </row>
    <row r="398" customFormat="false" ht="15" hidden="false" customHeight="false" outlineLevel="0" collapsed="false">
      <c r="A398" s="75"/>
      <c r="B398" s="77"/>
      <c r="C398" s="77"/>
      <c r="D398" s="78"/>
      <c r="E398" s="77"/>
      <c r="F398" s="77"/>
    </row>
    <row r="399" customFormat="false" ht="15" hidden="false" customHeight="false" outlineLevel="0" collapsed="false">
      <c r="A399" s="75"/>
      <c r="B399" s="77"/>
      <c r="C399" s="77"/>
      <c r="D399" s="78"/>
      <c r="E399" s="77"/>
      <c r="F399" s="77"/>
    </row>
    <row r="400" customFormat="false" ht="15" hidden="false" customHeight="false" outlineLevel="0" collapsed="false">
      <c r="A400" s="75"/>
      <c r="B400" s="77"/>
      <c r="C400" s="77"/>
      <c r="D400" s="78"/>
      <c r="E400" s="77"/>
      <c r="F400" s="77"/>
    </row>
    <row r="401" customFormat="false" ht="15" hidden="false" customHeight="false" outlineLevel="0" collapsed="false">
      <c r="A401" s="75"/>
      <c r="B401" s="77"/>
      <c r="C401" s="77"/>
      <c r="D401" s="78"/>
      <c r="E401" s="77"/>
      <c r="F401" s="77"/>
    </row>
    <row r="402" customFormat="false" ht="15" hidden="false" customHeight="false" outlineLevel="0" collapsed="false">
      <c r="A402" s="75"/>
      <c r="B402" s="77"/>
      <c r="C402" s="77"/>
      <c r="D402" s="78"/>
      <c r="E402" s="77"/>
      <c r="F402" s="77"/>
    </row>
    <row r="403" customFormat="false" ht="15" hidden="false" customHeight="false" outlineLevel="0" collapsed="false">
      <c r="A403" s="75"/>
      <c r="B403" s="77"/>
      <c r="C403" s="77"/>
      <c r="D403" s="78"/>
      <c r="E403" s="77"/>
      <c r="F403" s="77"/>
    </row>
    <row r="404" customFormat="false" ht="15" hidden="false" customHeight="false" outlineLevel="0" collapsed="false">
      <c r="A404" s="75"/>
      <c r="B404" s="77"/>
      <c r="C404" s="77"/>
      <c r="D404" s="78"/>
      <c r="E404" s="77"/>
      <c r="F404" s="77"/>
    </row>
    <row r="405" customFormat="false" ht="15" hidden="false" customHeight="false" outlineLevel="0" collapsed="false">
      <c r="A405" s="75"/>
      <c r="B405" s="77"/>
      <c r="C405" s="77"/>
      <c r="D405" s="78"/>
      <c r="E405" s="77"/>
      <c r="F405" s="77"/>
    </row>
    <row r="406" customFormat="false" ht="15" hidden="false" customHeight="false" outlineLevel="0" collapsed="false">
      <c r="A406" s="75"/>
      <c r="B406" s="77"/>
      <c r="C406" s="77"/>
      <c r="D406" s="78"/>
      <c r="E406" s="77"/>
      <c r="F406" s="77"/>
    </row>
    <row r="407" customFormat="false" ht="15" hidden="false" customHeight="false" outlineLevel="0" collapsed="false">
      <c r="A407" s="75"/>
      <c r="B407" s="77"/>
      <c r="C407" s="77"/>
      <c r="D407" s="78"/>
      <c r="E407" s="77"/>
      <c r="F407" s="77"/>
    </row>
    <row r="408" customFormat="false" ht="15" hidden="false" customHeight="false" outlineLevel="0" collapsed="false">
      <c r="A408" s="75"/>
      <c r="B408" s="77"/>
      <c r="C408" s="77"/>
      <c r="D408" s="78"/>
      <c r="E408" s="77"/>
      <c r="F408" s="77"/>
    </row>
    <row r="409" customFormat="false" ht="15" hidden="false" customHeight="false" outlineLevel="0" collapsed="false">
      <c r="A409" s="75"/>
      <c r="B409" s="77"/>
      <c r="C409" s="77"/>
      <c r="D409" s="78"/>
      <c r="E409" s="77"/>
      <c r="F409" s="77"/>
    </row>
    <row r="410" customFormat="false" ht="15" hidden="false" customHeight="false" outlineLevel="0" collapsed="false">
      <c r="A410" s="75"/>
      <c r="B410" s="77"/>
      <c r="C410" s="77"/>
      <c r="D410" s="78"/>
      <c r="E410" s="77"/>
      <c r="F410" s="77"/>
    </row>
    <row r="411" customFormat="false" ht="15" hidden="false" customHeight="false" outlineLevel="0" collapsed="false">
      <c r="A411" s="75"/>
      <c r="B411" s="77"/>
      <c r="C411" s="77"/>
      <c r="D411" s="78"/>
      <c r="E411" s="77"/>
      <c r="F411" s="77"/>
    </row>
    <row r="412" customFormat="false" ht="15" hidden="false" customHeight="false" outlineLevel="0" collapsed="false">
      <c r="A412" s="75"/>
      <c r="B412" s="77"/>
      <c r="C412" s="77"/>
      <c r="D412" s="78"/>
      <c r="E412" s="77"/>
      <c r="F412" s="77"/>
    </row>
    <row r="413" customFormat="false" ht="15" hidden="false" customHeight="false" outlineLevel="0" collapsed="false">
      <c r="A413" s="75"/>
      <c r="B413" s="77"/>
      <c r="C413" s="77"/>
      <c r="D413" s="78"/>
      <c r="E413" s="77"/>
      <c r="F413" s="77"/>
    </row>
    <row r="414" customFormat="false" ht="15" hidden="false" customHeight="false" outlineLevel="0" collapsed="false">
      <c r="A414" s="75"/>
      <c r="B414" s="77"/>
      <c r="C414" s="77"/>
      <c r="D414" s="78"/>
      <c r="E414" s="77"/>
      <c r="F414" s="77"/>
    </row>
    <row r="415" customFormat="false" ht="15" hidden="false" customHeight="false" outlineLevel="0" collapsed="false">
      <c r="A415" s="75"/>
      <c r="B415" s="77"/>
      <c r="C415" s="77"/>
      <c r="D415" s="78"/>
      <c r="E415" s="77"/>
      <c r="F415" s="77"/>
    </row>
    <row r="416" customFormat="false" ht="15" hidden="false" customHeight="false" outlineLevel="0" collapsed="false">
      <c r="A416" s="75"/>
      <c r="B416" s="77"/>
      <c r="C416" s="77"/>
      <c r="D416" s="78"/>
      <c r="E416" s="77"/>
      <c r="F416" s="77"/>
    </row>
    <row r="417" customFormat="false" ht="15" hidden="false" customHeight="false" outlineLevel="0" collapsed="false">
      <c r="A417" s="75"/>
      <c r="B417" s="77"/>
      <c r="C417" s="77"/>
      <c r="D417" s="78"/>
      <c r="E417" s="77"/>
      <c r="F417" s="77"/>
    </row>
    <row r="418" customFormat="false" ht="15" hidden="false" customHeight="false" outlineLevel="0" collapsed="false">
      <c r="A418" s="75"/>
      <c r="B418" s="77"/>
      <c r="C418" s="77"/>
      <c r="D418" s="78"/>
      <c r="E418" s="77"/>
      <c r="F418" s="77"/>
    </row>
    <row r="419" customFormat="false" ht="15" hidden="false" customHeight="false" outlineLevel="0" collapsed="false">
      <c r="A419" s="75"/>
      <c r="B419" s="77"/>
      <c r="C419" s="77"/>
      <c r="D419" s="78"/>
      <c r="E419" s="77"/>
      <c r="F419" s="77"/>
    </row>
    <row r="420" customFormat="false" ht="15" hidden="false" customHeight="false" outlineLevel="0" collapsed="false">
      <c r="A420" s="75"/>
      <c r="B420" s="77"/>
      <c r="C420" s="77"/>
      <c r="D420" s="78"/>
      <c r="E420" s="77"/>
      <c r="F420" s="77"/>
    </row>
    <row r="421" customFormat="false" ht="15" hidden="false" customHeight="false" outlineLevel="0" collapsed="false">
      <c r="A421" s="75"/>
      <c r="B421" s="77"/>
      <c r="C421" s="77"/>
      <c r="D421" s="78"/>
      <c r="E421" s="77"/>
      <c r="F421" s="77"/>
    </row>
    <row r="422" customFormat="false" ht="15" hidden="false" customHeight="false" outlineLevel="0" collapsed="false">
      <c r="A422" s="75"/>
      <c r="B422" s="77"/>
      <c r="C422" s="77"/>
      <c r="D422" s="78"/>
      <c r="E422" s="77"/>
      <c r="F422" s="77"/>
    </row>
    <row r="423" customFormat="false" ht="15" hidden="false" customHeight="false" outlineLevel="0" collapsed="false">
      <c r="A423" s="75"/>
      <c r="B423" s="77"/>
      <c r="C423" s="77"/>
      <c r="D423" s="78"/>
      <c r="E423" s="77"/>
      <c r="F423" s="77"/>
    </row>
    <row r="424" customFormat="false" ht="15" hidden="false" customHeight="false" outlineLevel="0" collapsed="false">
      <c r="A424" s="75"/>
      <c r="B424" s="77"/>
      <c r="C424" s="77"/>
      <c r="D424" s="78"/>
      <c r="E424" s="77"/>
      <c r="F424" s="77"/>
    </row>
    <row r="425" customFormat="false" ht="15" hidden="false" customHeight="false" outlineLevel="0" collapsed="false">
      <c r="A425" s="75"/>
      <c r="B425" s="77"/>
      <c r="C425" s="77"/>
      <c r="D425" s="78"/>
      <c r="E425" s="77"/>
      <c r="F425" s="77"/>
    </row>
    <row r="426" customFormat="false" ht="15" hidden="false" customHeight="false" outlineLevel="0" collapsed="false">
      <c r="A426" s="75"/>
      <c r="B426" s="77"/>
      <c r="C426" s="77"/>
      <c r="D426" s="78"/>
      <c r="E426" s="77"/>
      <c r="F426" s="77"/>
    </row>
    <row r="427" customFormat="false" ht="15" hidden="false" customHeight="false" outlineLevel="0" collapsed="false">
      <c r="A427" s="75"/>
      <c r="B427" s="77"/>
      <c r="C427" s="77"/>
      <c r="D427" s="78"/>
      <c r="E427" s="77"/>
      <c r="F427" s="77"/>
    </row>
    <row r="428" customFormat="false" ht="15" hidden="false" customHeight="false" outlineLevel="0" collapsed="false">
      <c r="A428" s="75"/>
      <c r="B428" s="77"/>
      <c r="C428" s="77"/>
      <c r="D428" s="78"/>
      <c r="E428" s="77"/>
      <c r="F428" s="77"/>
    </row>
    <row r="429" customFormat="false" ht="15" hidden="false" customHeight="false" outlineLevel="0" collapsed="false">
      <c r="A429" s="75"/>
      <c r="B429" s="77"/>
      <c r="C429" s="77"/>
      <c r="D429" s="78"/>
      <c r="E429" s="77"/>
      <c r="F429" s="77"/>
    </row>
    <row r="430" customFormat="false" ht="15" hidden="false" customHeight="false" outlineLevel="0" collapsed="false">
      <c r="A430" s="75"/>
      <c r="B430" s="77"/>
      <c r="C430" s="77"/>
      <c r="D430" s="78"/>
      <c r="E430" s="77"/>
      <c r="F430" s="77"/>
    </row>
    <row r="431" customFormat="false" ht="15" hidden="false" customHeight="false" outlineLevel="0" collapsed="false">
      <c r="A431" s="75"/>
      <c r="B431" s="77"/>
      <c r="C431" s="77"/>
      <c r="D431" s="78"/>
      <c r="E431" s="77"/>
      <c r="F431" s="77"/>
    </row>
    <row r="432" customFormat="false" ht="15" hidden="false" customHeight="false" outlineLevel="0" collapsed="false">
      <c r="A432" s="75"/>
      <c r="B432" s="77"/>
      <c r="C432" s="77"/>
      <c r="D432" s="78"/>
      <c r="E432" s="77"/>
      <c r="F432" s="77"/>
    </row>
    <row r="433" customFormat="false" ht="15" hidden="false" customHeight="false" outlineLevel="0" collapsed="false">
      <c r="A433" s="75"/>
      <c r="B433" s="77"/>
      <c r="C433" s="77"/>
      <c r="D433" s="78"/>
      <c r="E433" s="77"/>
      <c r="F433" s="77"/>
    </row>
    <row r="434" customFormat="false" ht="15" hidden="false" customHeight="false" outlineLevel="0" collapsed="false">
      <c r="A434" s="75"/>
      <c r="B434" s="77"/>
      <c r="C434" s="77"/>
      <c r="D434" s="78"/>
      <c r="E434" s="77"/>
      <c r="F434" s="77"/>
    </row>
    <row r="435" customFormat="false" ht="15" hidden="false" customHeight="false" outlineLevel="0" collapsed="false">
      <c r="A435" s="75"/>
      <c r="B435" s="77"/>
      <c r="C435" s="77"/>
      <c r="D435" s="78"/>
      <c r="E435" s="77"/>
      <c r="F435" s="77"/>
    </row>
    <row r="436" customFormat="false" ht="15" hidden="false" customHeight="false" outlineLevel="0" collapsed="false">
      <c r="A436" s="75"/>
      <c r="B436" s="77"/>
      <c r="C436" s="77"/>
      <c r="D436" s="78"/>
      <c r="E436" s="77"/>
      <c r="F436" s="77"/>
    </row>
    <row r="437" customFormat="false" ht="15" hidden="false" customHeight="false" outlineLevel="0" collapsed="false">
      <c r="A437" s="75"/>
      <c r="B437" s="77"/>
      <c r="C437" s="77"/>
      <c r="D437" s="78"/>
      <c r="E437" s="77"/>
      <c r="F437" s="77"/>
    </row>
    <row r="438" customFormat="false" ht="15" hidden="false" customHeight="false" outlineLevel="0" collapsed="false">
      <c r="A438" s="75"/>
      <c r="B438" s="77"/>
      <c r="C438" s="77"/>
      <c r="D438" s="78"/>
      <c r="E438" s="77"/>
      <c r="F438" s="77"/>
    </row>
    <row r="439" customFormat="false" ht="15" hidden="false" customHeight="false" outlineLevel="0" collapsed="false">
      <c r="A439" s="75"/>
      <c r="B439" s="77"/>
      <c r="C439" s="77"/>
      <c r="D439" s="78"/>
      <c r="E439" s="77"/>
      <c r="F439" s="77"/>
    </row>
    <row r="440" customFormat="false" ht="15" hidden="false" customHeight="false" outlineLevel="0" collapsed="false">
      <c r="A440" s="75"/>
      <c r="B440" s="77"/>
      <c r="C440" s="77"/>
      <c r="D440" s="78"/>
      <c r="E440" s="77"/>
      <c r="F440" s="77"/>
    </row>
    <row r="441" customFormat="false" ht="15" hidden="false" customHeight="false" outlineLevel="0" collapsed="false">
      <c r="A441" s="75"/>
      <c r="B441" s="77"/>
      <c r="C441" s="77"/>
      <c r="D441" s="78"/>
      <c r="E441" s="77"/>
      <c r="F441" s="77"/>
    </row>
    <row r="442" customFormat="false" ht="15" hidden="false" customHeight="false" outlineLevel="0" collapsed="false">
      <c r="A442" s="75"/>
      <c r="B442" s="77"/>
      <c r="C442" s="77"/>
      <c r="D442" s="78"/>
      <c r="E442" s="77"/>
      <c r="F442" s="77"/>
    </row>
    <row r="443" customFormat="false" ht="15" hidden="false" customHeight="false" outlineLevel="0" collapsed="false">
      <c r="A443" s="75"/>
      <c r="B443" s="77"/>
      <c r="C443" s="77"/>
      <c r="D443" s="78"/>
      <c r="E443" s="77"/>
      <c r="F443" s="77"/>
    </row>
    <row r="444" customFormat="false" ht="15" hidden="false" customHeight="false" outlineLevel="0" collapsed="false">
      <c r="A444" s="75"/>
      <c r="B444" s="77"/>
      <c r="C444" s="77"/>
      <c r="D444" s="78"/>
      <c r="E444" s="77"/>
      <c r="F444" s="77"/>
    </row>
    <row r="445" customFormat="false" ht="15" hidden="false" customHeight="false" outlineLevel="0" collapsed="false">
      <c r="A445" s="75"/>
      <c r="B445" s="77"/>
      <c r="C445" s="77"/>
      <c r="D445" s="78"/>
      <c r="E445" s="77"/>
      <c r="F445" s="77"/>
    </row>
    <row r="446" customFormat="false" ht="15" hidden="false" customHeight="false" outlineLevel="0" collapsed="false">
      <c r="A446" s="75"/>
      <c r="B446" s="77"/>
      <c r="C446" s="77"/>
      <c r="D446" s="78"/>
      <c r="E446" s="77"/>
      <c r="F446" s="77"/>
    </row>
    <row r="447" customFormat="false" ht="15" hidden="false" customHeight="false" outlineLevel="0" collapsed="false">
      <c r="A447" s="75"/>
      <c r="B447" s="77"/>
      <c r="C447" s="77"/>
      <c r="D447" s="78"/>
      <c r="E447" s="77"/>
      <c r="F447" s="77"/>
    </row>
    <row r="448" customFormat="false" ht="15" hidden="false" customHeight="false" outlineLevel="0" collapsed="false">
      <c r="A448" s="75"/>
      <c r="B448" s="77"/>
      <c r="C448" s="77"/>
      <c r="D448" s="78"/>
      <c r="E448" s="77"/>
      <c r="F448" s="77"/>
    </row>
    <row r="449" customFormat="false" ht="15" hidden="false" customHeight="false" outlineLevel="0" collapsed="false">
      <c r="A449" s="75"/>
      <c r="B449" s="77"/>
      <c r="C449" s="77"/>
      <c r="D449" s="78"/>
      <c r="E449" s="77"/>
      <c r="F449" s="77"/>
    </row>
    <row r="450" customFormat="false" ht="15" hidden="false" customHeight="false" outlineLevel="0" collapsed="false">
      <c r="A450" s="75"/>
      <c r="B450" s="77"/>
      <c r="C450" s="77"/>
      <c r="D450" s="78"/>
      <c r="E450" s="77"/>
      <c r="F450" s="77"/>
    </row>
    <row r="451" customFormat="false" ht="15" hidden="false" customHeight="false" outlineLevel="0" collapsed="false">
      <c r="A451" s="75"/>
      <c r="B451" s="77"/>
      <c r="C451" s="77"/>
      <c r="D451" s="78"/>
      <c r="E451" s="77"/>
      <c r="F451" s="77"/>
    </row>
    <row r="452" customFormat="false" ht="15" hidden="false" customHeight="false" outlineLevel="0" collapsed="false">
      <c r="A452" s="75"/>
      <c r="B452" s="77"/>
      <c r="C452" s="77"/>
      <c r="D452" s="78"/>
      <c r="E452" s="77"/>
      <c r="F452" s="77"/>
    </row>
    <row r="453" customFormat="false" ht="15" hidden="false" customHeight="false" outlineLevel="0" collapsed="false">
      <c r="A453" s="75"/>
      <c r="B453" s="77"/>
      <c r="C453" s="77"/>
      <c r="D453" s="78"/>
      <c r="E453" s="77"/>
      <c r="F453" s="77"/>
    </row>
    <row r="454" customFormat="false" ht="15" hidden="false" customHeight="false" outlineLevel="0" collapsed="false">
      <c r="A454" s="75"/>
      <c r="B454" s="77"/>
      <c r="C454" s="77"/>
      <c r="D454" s="78"/>
      <c r="E454" s="77"/>
      <c r="F454" s="77"/>
    </row>
    <row r="455" customFormat="false" ht="15" hidden="false" customHeight="false" outlineLevel="0" collapsed="false">
      <c r="A455" s="75"/>
      <c r="B455" s="77"/>
      <c r="C455" s="77"/>
      <c r="D455" s="78"/>
      <c r="E455" s="77"/>
      <c r="F455" s="77"/>
    </row>
    <row r="456" customFormat="false" ht="15" hidden="false" customHeight="false" outlineLevel="0" collapsed="false">
      <c r="A456" s="75"/>
      <c r="B456" s="77"/>
      <c r="C456" s="77"/>
      <c r="D456" s="78"/>
      <c r="E456" s="77"/>
      <c r="F456" s="77"/>
    </row>
    <row r="457" customFormat="false" ht="15" hidden="false" customHeight="false" outlineLevel="0" collapsed="false">
      <c r="A457" s="75"/>
      <c r="B457" s="77"/>
      <c r="C457" s="77"/>
      <c r="D457" s="78"/>
      <c r="E457" s="77"/>
      <c r="F457" s="77"/>
    </row>
    <row r="458" customFormat="false" ht="15" hidden="false" customHeight="false" outlineLevel="0" collapsed="false">
      <c r="A458" s="75"/>
      <c r="B458" s="77"/>
      <c r="C458" s="77"/>
      <c r="D458" s="78"/>
      <c r="E458" s="77"/>
      <c r="F458" s="77"/>
    </row>
    <row r="459" customFormat="false" ht="15" hidden="false" customHeight="false" outlineLevel="0" collapsed="false">
      <c r="A459" s="75"/>
      <c r="B459" s="77"/>
      <c r="C459" s="77"/>
      <c r="D459" s="78"/>
      <c r="E459" s="77"/>
      <c r="F459" s="77"/>
    </row>
    <row r="460" customFormat="false" ht="15" hidden="false" customHeight="false" outlineLevel="0" collapsed="false">
      <c r="A460" s="75"/>
      <c r="B460" s="77"/>
      <c r="C460" s="77"/>
      <c r="D460" s="78"/>
      <c r="E460" s="77"/>
      <c r="F460" s="77"/>
    </row>
    <row r="461" customFormat="false" ht="15" hidden="false" customHeight="false" outlineLevel="0" collapsed="false">
      <c r="A461" s="75"/>
      <c r="B461" s="77"/>
      <c r="C461" s="77"/>
      <c r="D461" s="78"/>
      <c r="E461" s="77"/>
      <c r="F461" s="77"/>
    </row>
    <row r="462" customFormat="false" ht="15" hidden="false" customHeight="false" outlineLevel="0" collapsed="false">
      <c r="A462" s="75"/>
      <c r="B462" s="77"/>
      <c r="C462" s="77"/>
      <c r="D462" s="78"/>
      <c r="E462" s="77"/>
      <c r="F462" s="77"/>
    </row>
    <row r="463" customFormat="false" ht="15" hidden="false" customHeight="false" outlineLevel="0" collapsed="false">
      <c r="A463" s="75"/>
      <c r="B463" s="77"/>
      <c r="C463" s="77"/>
      <c r="D463" s="78"/>
      <c r="E463" s="77"/>
      <c r="F463" s="77"/>
    </row>
    <row r="464" customFormat="false" ht="15" hidden="false" customHeight="false" outlineLevel="0" collapsed="false">
      <c r="A464" s="75"/>
      <c r="B464" s="77"/>
      <c r="C464" s="77"/>
      <c r="D464" s="78"/>
      <c r="E464" s="77"/>
      <c r="F464" s="77"/>
    </row>
    <row r="465" customFormat="false" ht="15" hidden="false" customHeight="false" outlineLevel="0" collapsed="false">
      <c r="A465" s="75"/>
      <c r="B465" s="77"/>
      <c r="C465" s="77"/>
      <c r="D465" s="78"/>
      <c r="E465" s="77"/>
      <c r="F465" s="77"/>
    </row>
    <row r="466" customFormat="false" ht="15" hidden="false" customHeight="false" outlineLevel="0" collapsed="false">
      <c r="A466" s="75"/>
      <c r="B466" s="77"/>
      <c r="C466" s="77"/>
      <c r="D466" s="78"/>
      <c r="E466" s="77"/>
      <c r="F466" s="77"/>
    </row>
    <row r="467" customFormat="false" ht="15" hidden="false" customHeight="false" outlineLevel="0" collapsed="false">
      <c r="A467" s="75"/>
      <c r="B467" s="77"/>
      <c r="C467" s="77"/>
      <c r="D467" s="78"/>
      <c r="E467" s="77"/>
      <c r="F467" s="77"/>
    </row>
    <row r="468" customFormat="false" ht="15" hidden="false" customHeight="false" outlineLevel="0" collapsed="false">
      <c r="A468" s="75"/>
      <c r="B468" s="77"/>
      <c r="C468" s="77"/>
      <c r="D468" s="78"/>
      <c r="E468" s="77"/>
      <c r="F468" s="77"/>
    </row>
    <row r="469" customFormat="false" ht="15" hidden="false" customHeight="false" outlineLevel="0" collapsed="false">
      <c r="A469" s="75"/>
      <c r="B469" s="77"/>
      <c r="C469" s="77"/>
      <c r="D469" s="78"/>
      <c r="E469" s="77"/>
      <c r="F469" s="77"/>
    </row>
    <row r="470" customFormat="false" ht="15" hidden="false" customHeight="false" outlineLevel="0" collapsed="false">
      <c r="A470" s="75"/>
      <c r="B470" s="77"/>
      <c r="C470" s="77"/>
      <c r="D470" s="78"/>
      <c r="E470" s="77"/>
      <c r="F470" s="77"/>
    </row>
    <row r="471" customFormat="false" ht="15" hidden="false" customHeight="false" outlineLevel="0" collapsed="false">
      <c r="A471" s="75"/>
      <c r="B471" s="77"/>
      <c r="C471" s="77"/>
      <c r="D471" s="78"/>
      <c r="E471" s="77"/>
      <c r="F471" s="77"/>
    </row>
    <row r="472" customFormat="false" ht="15" hidden="false" customHeight="false" outlineLevel="0" collapsed="false">
      <c r="A472" s="75"/>
      <c r="B472" s="77"/>
      <c r="C472" s="77"/>
      <c r="D472" s="78"/>
      <c r="E472" s="77"/>
      <c r="F472" s="77"/>
    </row>
    <row r="473" customFormat="false" ht="15" hidden="false" customHeight="false" outlineLevel="0" collapsed="false">
      <c r="A473" s="75"/>
      <c r="B473" s="77"/>
      <c r="C473" s="77"/>
      <c r="D473" s="78"/>
      <c r="E473" s="77"/>
      <c r="F473" s="77"/>
    </row>
    <row r="474" customFormat="false" ht="15" hidden="false" customHeight="false" outlineLevel="0" collapsed="false">
      <c r="A474" s="75"/>
      <c r="B474" s="77"/>
      <c r="C474" s="77"/>
      <c r="D474" s="78"/>
      <c r="E474" s="77"/>
      <c r="F474" s="77"/>
    </row>
    <row r="475" customFormat="false" ht="15" hidden="false" customHeight="false" outlineLevel="0" collapsed="false">
      <c r="A475" s="75"/>
      <c r="B475" s="77"/>
      <c r="C475" s="77"/>
      <c r="D475" s="78"/>
      <c r="E475" s="77"/>
      <c r="F475" s="77"/>
    </row>
    <row r="476" customFormat="false" ht="15" hidden="false" customHeight="false" outlineLevel="0" collapsed="false">
      <c r="A476" s="75"/>
      <c r="B476" s="77"/>
      <c r="C476" s="77"/>
      <c r="D476" s="78"/>
      <c r="E476" s="77"/>
      <c r="F476" s="77"/>
    </row>
    <row r="477" customFormat="false" ht="15" hidden="false" customHeight="false" outlineLevel="0" collapsed="false">
      <c r="A477" s="75"/>
      <c r="B477" s="77"/>
      <c r="C477" s="77"/>
      <c r="D477" s="78"/>
      <c r="E477" s="77"/>
      <c r="F477" s="77"/>
    </row>
    <row r="478" customFormat="false" ht="15" hidden="false" customHeight="false" outlineLevel="0" collapsed="false">
      <c r="A478" s="75"/>
      <c r="B478" s="77"/>
      <c r="C478" s="77"/>
      <c r="D478" s="78"/>
      <c r="E478" s="77"/>
      <c r="F478" s="77"/>
    </row>
    <row r="479" customFormat="false" ht="15" hidden="false" customHeight="false" outlineLevel="0" collapsed="false">
      <c r="A479" s="75"/>
      <c r="B479" s="77"/>
      <c r="C479" s="77"/>
      <c r="D479" s="78"/>
      <c r="E479" s="77"/>
      <c r="F479" s="77"/>
    </row>
    <row r="480" customFormat="false" ht="15" hidden="false" customHeight="false" outlineLevel="0" collapsed="false">
      <c r="A480" s="75"/>
      <c r="B480" s="77"/>
      <c r="C480" s="77"/>
      <c r="D480" s="78"/>
      <c r="E480" s="77"/>
      <c r="F480" s="77"/>
    </row>
    <row r="481" customFormat="false" ht="15" hidden="false" customHeight="false" outlineLevel="0" collapsed="false">
      <c r="A481" s="75"/>
      <c r="B481" s="77"/>
      <c r="C481" s="77"/>
      <c r="D481" s="78"/>
      <c r="E481" s="77"/>
      <c r="F481" s="77"/>
    </row>
    <row r="482" customFormat="false" ht="15" hidden="false" customHeight="false" outlineLevel="0" collapsed="false">
      <c r="A482" s="75"/>
      <c r="B482" s="77"/>
      <c r="C482" s="77"/>
      <c r="D482" s="78"/>
      <c r="E482" s="77"/>
      <c r="F482" s="77"/>
    </row>
    <row r="483" customFormat="false" ht="15" hidden="false" customHeight="false" outlineLevel="0" collapsed="false">
      <c r="A483" s="75"/>
      <c r="B483" s="77"/>
      <c r="C483" s="77"/>
      <c r="D483" s="78"/>
      <c r="E483" s="77"/>
      <c r="F483" s="77"/>
    </row>
    <row r="484" customFormat="false" ht="15" hidden="false" customHeight="false" outlineLevel="0" collapsed="false">
      <c r="A484" s="75"/>
      <c r="B484" s="77"/>
      <c r="C484" s="77"/>
      <c r="D484" s="78"/>
      <c r="E484" s="77"/>
      <c r="F484" s="77"/>
    </row>
    <row r="485" customFormat="false" ht="15" hidden="false" customHeight="false" outlineLevel="0" collapsed="false">
      <c r="A485" s="75"/>
      <c r="B485" s="77"/>
      <c r="C485" s="77"/>
      <c r="D485" s="78"/>
      <c r="E485" s="77"/>
      <c r="F485" s="77"/>
    </row>
    <row r="486" customFormat="false" ht="15" hidden="false" customHeight="false" outlineLevel="0" collapsed="false">
      <c r="A486" s="75"/>
      <c r="B486" s="77"/>
      <c r="C486" s="77"/>
      <c r="D486" s="78"/>
      <c r="E486" s="77"/>
      <c r="F486" s="77"/>
    </row>
    <row r="487" customFormat="false" ht="15" hidden="false" customHeight="false" outlineLevel="0" collapsed="false">
      <c r="A487" s="75"/>
      <c r="B487" s="77"/>
      <c r="C487" s="77"/>
      <c r="D487" s="78"/>
      <c r="E487" s="77"/>
      <c r="F487" s="77"/>
    </row>
    <row r="488" customFormat="false" ht="15" hidden="false" customHeight="false" outlineLevel="0" collapsed="false">
      <c r="A488" s="75"/>
      <c r="B488" s="77"/>
      <c r="C488" s="77"/>
      <c r="D488" s="78"/>
      <c r="E488" s="77"/>
      <c r="F488" s="77"/>
    </row>
    <row r="489" customFormat="false" ht="15" hidden="false" customHeight="false" outlineLevel="0" collapsed="false">
      <c r="A489" s="75"/>
      <c r="B489" s="77"/>
      <c r="C489" s="77"/>
      <c r="D489" s="78"/>
      <c r="E489" s="77"/>
      <c r="F489" s="77"/>
    </row>
    <row r="490" customFormat="false" ht="15" hidden="false" customHeight="false" outlineLevel="0" collapsed="false">
      <c r="A490" s="75"/>
      <c r="B490" s="77"/>
      <c r="C490" s="77"/>
      <c r="D490" s="78"/>
      <c r="E490" s="77"/>
      <c r="F490" s="77"/>
    </row>
    <row r="491" customFormat="false" ht="15" hidden="false" customHeight="false" outlineLevel="0" collapsed="false">
      <c r="A491" s="75"/>
      <c r="B491" s="77"/>
      <c r="C491" s="77"/>
      <c r="D491" s="78"/>
      <c r="E491" s="77"/>
      <c r="F491" s="77"/>
    </row>
    <row r="492" customFormat="false" ht="15" hidden="false" customHeight="false" outlineLevel="0" collapsed="false">
      <c r="A492" s="75"/>
      <c r="B492" s="77"/>
      <c r="C492" s="77"/>
      <c r="D492" s="78"/>
      <c r="E492" s="77"/>
      <c r="F492" s="77"/>
    </row>
    <row r="493" customFormat="false" ht="15" hidden="false" customHeight="false" outlineLevel="0" collapsed="false">
      <c r="A493" s="75"/>
      <c r="B493" s="77"/>
      <c r="C493" s="77"/>
      <c r="D493" s="78"/>
      <c r="E493" s="77"/>
      <c r="F493" s="77"/>
    </row>
    <row r="494" customFormat="false" ht="15" hidden="false" customHeight="false" outlineLevel="0" collapsed="false">
      <c r="A494" s="75"/>
      <c r="B494" s="77"/>
      <c r="C494" s="77"/>
      <c r="D494" s="78"/>
      <c r="E494" s="77"/>
      <c r="F494" s="77"/>
    </row>
    <row r="495" customFormat="false" ht="15" hidden="false" customHeight="false" outlineLevel="0" collapsed="false">
      <c r="A495" s="75"/>
      <c r="B495" s="77"/>
      <c r="C495" s="77"/>
      <c r="D495" s="78"/>
      <c r="E495" s="77"/>
      <c r="F495" s="77"/>
    </row>
    <row r="496" customFormat="false" ht="15" hidden="false" customHeight="false" outlineLevel="0" collapsed="false">
      <c r="A496" s="75"/>
      <c r="B496" s="77"/>
      <c r="C496" s="77"/>
      <c r="D496" s="78"/>
      <c r="E496" s="77"/>
      <c r="F496" s="77"/>
    </row>
    <row r="497" customFormat="false" ht="15" hidden="false" customHeight="false" outlineLevel="0" collapsed="false">
      <c r="A497" s="75"/>
      <c r="B497" s="77"/>
      <c r="C497" s="77"/>
      <c r="D497" s="78"/>
      <c r="E497" s="77"/>
      <c r="F497" s="77"/>
    </row>
    <row r="498" customFormat="false" ht="15" hidden="false" customHeight="false" outlineLevel="0" collapsed="false">
      <c r="A498" s="75"/>
      <c r="B498" s="77"/>
      <c r="C498" s="77"/>
      <c r="D498" s="78"/>
      <c r="E498" s="77"/>
      <c r="F498" s="77"/>
    </row>
    <row r="499" customFormat="false" ht="15" hidden="false" customHeight="false" outlineLevel="0" collapsed="false">
      <c r="A499" s="75"/>
      <c r="B499" s="77"/>
      <c r="C499" s="77"/>
      <c r="D499" s="78"/>
      <c r="E499" s="77"/>
      <c r="F499" s="77"/>
    </row>
    <row r="500" customFormat="false" ht="15" hidden="false" customHeight="false" outlineLevel="0" collapsed="false">
      <c r="A500" s="75"/>
      <c r="B500" s="77"/>
      <c r="C500" s="77"/>
      <c r="D500" s="78"/>
      <c r="E500" s="77"/>
      <c r="F500" s="77"/>
    </row>
    <row r="501" customFormat="false" ht="15" hidden="false" customHeight="false" outlineLevel="0" collapsed="false">
      <c r="A501" s="75"/>
      <c r="B501" s="77"/>
      <c r="C501" s="77"/>
      <c r="D501" s="78"/>
      <c r="E501" s="77"/>
      <c r="F501" s="77"/>
    </row>
    <row r="502" customFormat="false" ht="15" hidden="false" customHeight="false" outlineLevel="0" collapsed="false">
      <c r="A502" s="75"/>
      <c r="B502" s="77"/>
      <c r="C502" s="77"/>
      <c r="D502" s="78"/>
      <c r="E502" s="77"/>
      <c r="F502" s="77"/>
    </row>
    <row r="503" customFormat="false" ht="15" hidden="false" customHeight="false" outlineLevel="0" collapsed="false">
      <c r="A503" s="75"/>
      <c r="B503" s="77"/>
      <c r="C503" s="77"/>
      <c r="D503" s="78"/>
      <c r="E503" s="77"/>
      <c r="F503" s="77"/>
    </row>
    <row r="504" customFormat="false" ht="15" hidden="false" customHeight="false" outlineLevel="0" collapsed="false">
      <c r="A504" s="75"/>
      <c r="B504" s="77"/>
      <c r="C504" s="77"/>
      <c r="D504" s="78"/>
      <c r="E504" s="77"/>
      <c r="F504" s="77"/>
    </row>
    <row r="505" customFormat="false" ht="15" hidden="false" customHeight="false" outlineLevel="0" collapsed="false">
      <c r="A505" s="75"/>
      <c r="B505" s="77"/>
      <c r="C505" s="77"/>
      <c r="D505" s="78"/>
      <c r="E505" s="77"/>
      <c r="F505" s="77"/>
    </row>
    <row r="506" customFormat="false" ht="15" hidden="false" customHeight="false" outlineLevel="0" collapsed="false">
      <c r="A506" s="75"/>
      <c r="B506" s="77"/>
      <c r="C506" s="77"/>
      <c r="D506" s="78"/>
      <c r="E506" s="77"/>
      <c r="F506" s="77"/>
    </row>
    <row r="507" customFormat="false" ht="15" hidden="false" customHeight="false" outlineLevel="0" collapsed="false">
      <c r="A507" s="75"/>
      <c r="B507" s="77"/>
      <c r="C507" s="77"/>
      <c r="D507" s="78"/>
      <c r="E507" s="77"/>
      <c r="F507" s="77"/>
    </row>
    <row r="508" customFormat="false" ht="15" hidden="false" customHeight="false" outlineLevel="0" collapsed="false">
      <c r="A508" s="75"/>
      <c r="B508" s="77"/>
      <c r="C508" s="77"/>
      <c r="D508" s="78"/>
      <c r="E508" s="77"/>
      <c r="F508" s="77"/>
    </row>
    <row r="509" customFormat="false" ht="15" hidden="false" customHeight="false" outlineLevel="0" collapsed="false">
      <c r="A509" s="75"/>
      <c r="B509" s="77"/>
      <c r="C509" s="77"/>
      <c r="D509" s="78"/>
      <c r="E509" s="77"/>
      <c r="F509" s="77"/>
    </row>
    <row r="510" customFormat="false" ht="15" hidden="false" customHeight="false" outlineLevel="0" collapsed="false">
      <c r="A510" s="75"/>
      <c r="B510" s="77"/>
      <c r="C510" s="77"/>
      <c r="D510" s="78"/>
      <c r="E510" s="77"/>
      <c r="F510" s="77"/>
    </row>
    <row r="511" customFormat="false" ht="15" hidden="false" customHeight="false" outlineLevel="0" collapsed="false">
      <c r="A511" s="75"/>
      <c r="B511" s="77"/>
      <c r="C511" s="77"/>
      <c r="D511" s="78"/>
      <c r="E511" s="77"/>
      <c r="F511" s="77"/>
    </row>
    <row r="512" customFormat="false" ht="15" hidden="false" customHeight="false" outlineLevel="0" collapsed="false">
      <c r="A512" s="75"/>
      <c r="B512" s="77"/>
      <c r="C512" s="77"/>
      <c r="D512" s="78"/>
      <c r="E512" s="77"/>
      <c r="F512" s="77"/>
    </row>
    <row r="513" customFormat="false" ht="15" hidden="false" customHeight="false" outlineLevel="0" collapsed="false">
      <c r="A513" s="75"/>
      <c r="B513" s="77"/>
      <c r="C513" s="77"/>
      <c r="D513" s="78"/>
      <c r="E513" s="77"/>
      <c r="F513" s="77"/>
    </row>
    <row r="514" customFormat="false" ht="15" hidden="false" customHeight="false" outlineLevel="0" collapsed="false">
      <c r="A514" s="75"/>
      <c r="B514" s="77"/>
      <c r="C514" s="77"/>
      <c r="D514" s="78"/>
      <c r="E514" s="77"/>
      <c r="F514" s="77"/>
    </row>
    <row r="515" customFormat="false" ht="15" hidden="false" customHeight="false" outlineLevel="0" collapsed="false">
      <c r="A515" s="75"/>
      <c r="B515" s="77"/>
      <c r="C515" s="77"/>
      <c r="D515" s="78"/>
      <c r="E515" s="77"/>
      <c r="F515" s="77"/>
    </row>
    <row r="516" customFormat="false" ht="15" hidden="false" customHeight="false" outlineLevel="0" collapsed="false">
      <c r="A516" s="75"/>
      <c r="B516" s="77"/>
      <c r="C516" s="77"/>
      <c r="D516" s="78"/>
      <c r="E516" s="77"/>
      <c r="F516" s="77"/>
    </row>
    <row r="517" customFormat="false" ht="15" hidden="false" customHeight="false" outlineLevel="0" collapsed="false">
      <c r="A517" s="75"/>
      <c r="B517" s="77"/>
      <c r="C517" s="77"/>
      <c r="D517" s="78"/>
      <c r="E517" s="77"/>
      <c r="F517" s="77"/>
    </row>
    <row r="518" customFormat="false" ht="15" hidden="false" customHeight="false" outlineLevel="0" collapsed="false">
      <c r="A518" s="75"/>
      <c r="B518" s="77"/>
      <c r="C518" s="77"/>
      <c r="D518" s="78"/>
      <c r="E518" s="77"/>
      <c r="F518" s="77"/>
    </row>
    <row r="519" customFormat="false" ht="15" hidden="false" customHeight="false" outlineLevel="0" collapsed="false">
      <c r="A519" s="75"/>
      <c r="B519" s="77"/>
      <c r="C519" s="77"/>
      <c r="D519" s="78"/>
      <c r="E519" s="77"/>
      <c r="F519" s="77"/>
    </row>
    <row r="520" customFormat="false" ht="15" hidden="false" customHeight="false" outlineLevel="0" collapsed="false">
      <c r="A520" s="75"/>
      <c r="B520" s="77"/>
      <c r="C520" s="77"/>
      <c r="D520" s="78"/>
      <c r="E520" s="77"/>
      <c r="F520" s="77"/>
    </row>
    <row r="521" customFormat="false" ht="15" hidden="false" customHeight="false" outlineLevel="0" collapsed="false">
      <c r="A521" s="75"/>
      <c r="B521" s="77"/>
      <c r="C521" s="77"/>
      <c r="D521" s="78"/>
      <c r="E521" s="77"/>
      <c r="F521" s="77"/>
    </row>
    <row r="522" customFormat="false" ht="15" hidden="false" customHeight="false" outlineLevel="0" collapsed="false">
      <c r="A522" s="75"/>
      <c r="B522" s="77"/>
      <c r="C522" s="77"/>
      <c r="D522" s="78"/>
      <c r="E522" s="77"/>
      <c r="F522" s="77"/>
    </row>
    <row r="523" customFormat="false" ht="15" hidden="false" customHeight="false" outlineLevel="0" collapsed="false">
      <c r="A523" s="75"/>
      <c r="B523" s="77"/>
      <c r="C523" s="77"/>
      <c r="D523" s="78"/>
      <c r="E523" s="77"/>
      <c r="F523" s="77"/>
    </row>
    <row r="524" customFormat="false" ht="15" hidden="false" customHeight="false" outlineLevel="0" collapsed="false">
      <c r="A524" s="75"/>
      <c r="B524" s="77"/>
      <c r="C524" s="77"/>
      <c r="D524" s="78"/>
      <c r="E524" s="77"/>
      <c r="F524" s="77"/>
    </row>
    <row r="525" customFormat="false" ht="15" hidden="false" customHeight="false" outlineLevel="0" collapsed="false">
      <c r="A525" s="75"/>
      <c r="B525" s="77"/>
      <c r="C525" s="77"/>
      <c r="D525" s="78"/>
      <c r="E525" s="77"/>
      <c r="F525" s="77"/>
    </row>
    <row r="526" customFormat="false" ht="15" hidden="false" customHeight="false" outlineLevel="0" collapsed="false">
      <c r="A526" s="75"/>
      <c r="B526" s="77"/>
      <c r="C526" s="77"/>
      <c r="D526" s="78"/>
      <c r="E526" s="77"/>
      <c r="F526" s="77"/>
    </row>
    <row r="527" customFormat="false" ht="15" hidden="false" customHeight="false" outlineLevel="0" collapsed="false">
      <c r="A527" s="75"/>
      <c r="B527" s="77"/>
      <c r="C527" s="77"/>
      <c r="D527" s="78"/>
      <c r="E527" s="77"/>
      <c r="F527" s="77"/>
    </row>
    <row r="528" customFormat="false" ht="15" hidden="false" customHeight="false" outlineLevel="0" collapsed="false">
      <c r="A528" s="75"/>
      <c r="B528" s="77"/>
      <c r="C528" s="77"/>
      <c r="D528" s="78"/>
      <c r="E528" s="77"/>
      <c r="F528" s="77"/>
    </row>
    <row r="529" customFormat="false" ht="15" hidden="false" customHeight="false" outlineLevel="0" collapsed="false">
      <c r="A529" s="75"/>
      <c r="B529" s="77"/>
      <c r="C529" s="77"/>
      <c r="D529" s="78"/>
      <c r="E529" s="77"/>
      <c r="F529" s="77"/>
    </row>
    <row r="530" customFormat="false" ht="15" hidden="false" customHeight="false" outlineLevel="0" collapsed="false">
      <c r="A530" s="75"/>
      <c r="B530" s="77"/>
      <c r="C530" s="77"/>
      <c r="D530" s="78"/>
      <c r="E530" s="77"/>
      <c r="F530" s="77"/>
    </row>
    <row r="531" customFormat="false" ht="15" hidden="false" customHeight="false" outlineLevel="0" collapsed="false">
      <c r="A531" s="75"/>
      <c r="B531" s="77"/>
      <c r="C531" s="77"/>
      <c r="D531" s="78"/>
      <c r="E531" s="77"/>
      <c r="F531" s="77"/>
    </row>
    <row r="532" customFormat="false" ht="15" hidden="false" customHeight="false" outlineLevel="0" collapsed="false">
      <c r="A532" s="75"/>
      <c r="B532" s="77"/>
      <c r="C532" s="77"/>
      <c r="D532" s="78"/>
      <c r="E532" s="77"/>
      <c r="F532" s="77"/>
    </row>
    <row r="533" customFormat="false" ht="15" hidden="false" customHeight="false" outlineLevel="0" collapsed="false">
      <c r="A533" s="75"/>
      <c r="B533" s="77"/>
      <c r="C533" s="77"/>
      <c r="D533" s="78"/>
      <c r="E533" s="77"/>
      <c r="F533" s="77"/>
    </row>
    <row r="534" customFormat="false" ht="15" hidden="false" customHeight="false" outlineLevel="0" collapsed="false">
      <c r="A534" s="75"/>
      <c r="B534" s="77"/>
      <c r="C534" s="77"/>
      <c r="D534" s="78"/>
      <c r="E534" s="77"/>
      <c r="F534" s="77"/>
    </row>
    <row r="535" customFormat="false" ht="15" hidden="false" customHeight="false" outlineLevel="0" collapsed="false">
      <c r="A535" s="75"/>
      <c r="B535" s="77"/>
      <c r="C535" s="77"/>
      <c r="D535" s="78"/>
      <c r="E535" s="77"/>
      <c r="F535" s="77"/>
    </row>
    <row r="536" customFormat="false" ht="15" hidden="false" customHeight="false" outlineLevel="0" collapsed="false">
      <c r="A536" s="75"/>
      <c r="B536" s="77"/>
      <c r="C536" s="77"/>
      <c r="D536" s="78"/>
      <c r="E536" s="77"/>
      <c r="F536" s="77"/>
    </row>
    <row r="537" customFormat="false" ht="15" hidden="false" customHeight="false" outlineLevel="0" collapsed="false">
      <c r="A537" s="75"/>
      <c r="B537" s="77"/>
      <c r="C537" s="77"/>
      <c r="D537" s="78"/>
      <c r="E537" s="77"/>
      <c r="F537" s="77"/>
    </row>
    <row r="538" customFormat="false" ht="15" hidden="false" customHeight="false" outlineLevel="0" collapsed="false">
      <c r="A538" s="75"/>
      <c r="B538" s="77"/>
      <c r="C538" s="77"/>
      <c r="D538" s="78"/>
      <c r="E538" s="77"/>
      <c r="F538" s="77"/>
    </row>
    <row r="539" customFormat="false" ht="15" hidden="false" customHeight="false" outlineLevel="0" collapsed="false">
      <c r="A539" s="75"/>
      <c r="B539" s="77"/>
      <c r="C539" s="77"/>
      <c r="D539" s="78"/>
      <c r="E539" s="77"/>
      <c r="F539" s="77"/>
    </row>
    <row r="540" customFormat="false" ht="15" hidden="false" customHeight="false" outlineLevel="0" collapsed="false">
      <c r="A540" s="75"/>
      <c r="B540" s="77"/>
      <c r="C540" s="77"/>
      <c r="D540" s="78"/>
      <c r="E540" s="77"/>
      <c r="F540" s="77"/>
    </row>
    <row r="541" customFormat="false" ht="15" hidden="false" customHeight="false" outlineLevel="0" collapsed="false">
      <c r="A541" s="75"/>
      <c r="B541" s="77"/>
      <c r="C541" s="77"/>
      <c r="D541" s="78"/>
      <c r="E541" s="77"/>
      <c r="F541" s="77"/>
    </row>
    <row r="542" customFormat="false" ht="15" hidden="false" customHeight="false" outlineLevel="0" collapsed="false">
      <c r="A542" s="75"/>
      <c r="B542" s="77"/>
      <c r="C542" s="77"/>
      <c r="D542" s="78"/>
      <c r="E542" s="77"/>
      <c r="F542" s="77"/>
    </row>
    <row r="543" customFormat="false" ht="15" hidden="false" customHeight="false" outlineLevel="0" collapsed="false">
      <c r="A543" s="75"/>
      <c r="B543" s="77"/>
      <c r="C543" s="77"/>
      <c r="D543" s="78"/>
      <c r="E543" s="77"/>
      <c r="F543" s="77"/>
    </row>
    <row r="544" customFormat="false" ht="15" hidden="false" customHeight="false" outlineLevel="0" collapsed="false">
      <c r="A544" s="75"/>
      <c r="B544" s="77"/>
      <c r="C544" s="77"/>
      <c r="D544" s="78"/>
      <c r="E544" s="77"/>
      <c r="F544" s="77"/>
    </row>
    <row r="545" customFormat="false" ht="15" hidden="false" customHeight="false" outlineLevel="0" collapsed="false">
      <c r="A545" s="75"/>
      <c r="B545" s="77"/>
      <c r="C545" s="77"/>
      <c r="D545" s="78"/>
      <c r="E545" s="77"/>
      <c r="F545" s="77"/>
    </row>
    <row r="546" customFormat="false" ht="15" hidden="false" customHeight="false" outlineLevel="0" collapsed="false">
      <c r="A546" s="75"/>
      <c r="B546" s="77"/>
      <c r="C546" s="77"/>
      <c r="D546" s="78"/>
      <c r="E546" s="77"/>
      <c r="F546" s="77"/>
    </row>
    <row r="547" customFormat="false" ht="15" hidden="false" customHeight="false" outlineLevel="0" collapsed="false">
      <c r="A547" s="75"/>
      <c r="B547" s="77"/>
      <c r="C547" s="77"/>
      <c r="D547" s="78"/>
      <c r="E547" s="77"/>
      <c r="F547" s="77"/>
    </row>
    <row r="548" customFormat="false" ht="15" hidden="false" customHeight="false" outlineLevel="0" collapsed="false">
      <c r="A548" s="75"/>
      <c r="B548" s="77"/>
      <c r="C548" s="77"/>
      <c r="D548" s="78"/>
      <c r="E548" s="77"/>
      <c r="F548" s="77"/>
    </row>
    <row r="549" customFormat="false" ht="15" hidden="false" customHeight="false" outlineLevel="0" collapsed="false">
      <c r="A549" s="75"/>
      <c r="B549" s="77"/>
      <c r="C549" s="77"/>
      <c r="D549" s="78"/>
      <c r="E549" s="77"/>
      <c r="F549" s="77"/>
    </row>
    <row r="550" customFormat="false" ht="15" hidden="false" customHeight="false" outlineLevel="0" collapsed="false">
      <c r="A550" s="75"/>
      <c r="B550" s="77"/>
      <c r="C550" s="77"/>
      <c r="D550" s="78"/>
      <c r="E550" s="77"/>
      <c r="F550" s="77"/>
    </row>
    <row r="551" customFormat="false" ht="15" hidden="false" customHeight="false" outlineLevel="0" collapsed="false">
      <c r="A551" s="75"/>
      <c r="B551" s="77"/>
      <c r="C551" s="77"/>
      <c r="D551" s="78"/>
      <c r="E551" s="77"/>
      <c r="F551" s="77"/>
    </row>
    <row r="552" customFormat="false" ht="15" hidden="false" customHeight="false" outlineLevel="0" collapsed="false">
      <c r="A552" s="75"/>
      <c r="B552" s="77"/>
      <c r="C552" s="77"/>
      <c r="D552" s="78"/>
      <c r="E552" s="77"/>
      <c r="F552" s="77"/>
    </row>
    <row r="553" customFormat="false" ht="15" hidden="false" customHeight="false" outlineLevel="0" collapsed="false">
      <c r="A553" s="75"/>
      <c r="B553" s="77"/>
      <c r="C553" s="77"/>
      <c r="D553" s="78"/>
      <c r="E553" s="77"/>
      <c r="F553" s="77"/>
    </row>
    <row r="554" customFormat="false" ht="15" hidden="false" customHeight="false" outlineLevel="0" collapsed="false">
      <c r="A554" s="75"/>
      <c r="B554" s="77"/>
      <c r="C554" s="77"/>
      <c r="D554" s="78"/>
      <c r="E554" s="77"/>
      <c r="F554" s="77"/>
    </row>
    <row r="555" customFormat="false" ht="15" hidden="false" customHeight="false" outlineLevel="0" collapsed="false">
      <c r="A555" s="75"/>
      <c r="B555" s="77"/>
      <c r="C555" s="77"/>
      <c r="D555" s="78"/>
      <c r="E555" s="77"/>
      <c r="F555" s="77"/>
    </row>
    <row r="556" customFormat="false" ht="15" hidden="false" customHeight="false" outlineLevel="0" collapsed="false">
      <c r="A556" s="75"/>
      <c r="B556" s="77"/>
      <c r="C556" s="77"/>
      <c r="D556" s="78"/>
      <c r="E556" s="77"/>
      <c r="F556" s="77"/>
    </row>
    <row r="557" customFormat="false" ht="15" hidden="false" customHeight="false" outlineLevel="0" collapsed="false">
      <c r="A557" s="75"/>
      <c r="B557" s="77"/>
      <c r="C557" s="77"/>
      <c r="D557" s="78"/>
      <c r="E557" s="77"/>
      <c r="F557" s="77"/>
    </row>
    <row r="558" customFormat="false" ht="15" hidden="false" customHeight="false" outlineLevel="0" collapsed="false">
      <c r="A558" s="75"/>
      <c r="B558" s="77"/>
      <c r="C558" s="77"/>
      <c r="D558" s="78"/>
      <c r="E558" s="77"/>
      <c r="F558" s="77"/>
    </row>
    <row r="559" customFormat="false" ht="15" hidden="false" customHeight="false" outlineLevel="0" collapsed="false">
      <c r="A559" s="75"/>
      <c r="B559" s="77"/>
      <c r="C559" s="77"/>
      <c r="D559" s="78"/>
      <c r="E559" s="77"/>
      <c r="F559" s="77"/>
    </row>
    <row r="560" customFormat="false" ht="15" hidden="false" customHeight="false" outlineLevel="0" collapsed="false">
      <c r="A560" s="75"/>
      <c r="B560" s="77"/>
      <c r="C560" s="77"/>
      <c r="D560" s="78"/>
      <c r="E560" s="77"/>
      <c r="F560" s="77"/>
    </row>
    <row r="561" customFormat="false" ht="15" hidden="false" customHeight="false" outlineLevel="0" collapsed="false">
      <c r="A561" s="75"/>
      <c r="B561" s="77"/>
      <c r="C561" s="77"/>
      <c r="D561" s="78"/>
      <c r="E561" s="77"/>
      <c r="F561" s="77"/>
    </row>
    <row r="562" customFormat="false" ht="15" hidden="false" customHeight="false" outlineLevel="0" collapsed="false">
      <c r="A562" s="75"/>
      <c r="B562" s="77"/>
      <c r="C562" s="77"/>
      <c r="D562" s="78"/>
      <c r="E562" s="77"/>
      <c r="F562" s="77"/>
    </row>
    <row r="563" customFormat="false" ht="15" hidden="false" customHeight="false" outlineLevel="0" collapsed="false">
      <c r="A563" s="75"/>
      <c r="B563" s="77"/>
      <c r="C563" s="77"/>
      <c r="D563" s="78"/>
      <c r="E563" s="77"/>
      <c r="F563" s="77"/>
    </row>
    <row r="564" customFormat="false" ht="15" hidden="false" customHeight="false" outlineLevel="0" collapsed="false">
      <c r="A564" s="75"/>
      <c r="B564" s="77"/>
      <c r="C564" s="77"/>
      <c r="D564" s="78"/>
      <c r="E564" s="77"/>
      <c r="F564" s="77"/>
    </row>
    <row r="565" customFormat="false" ht="15" hidden="false" customHeight="false" outlineLevel="0" collapsed="false">
      <c r="A565" s="75"/>
      <c r="B565" s="77"/>
      <c r="C565" s="77"/>
      <c r="D565" s="78"/>
      <c r="E565" s="77"/>
      <c r="F565" s="77"/>
    </row>
    <row r="566" customFormat="false" ht="15" hidden="false" customHeight="false" outlineLevel="0" collapsed="false">
      <c r="A566" s="75"/>
      <c r="B566" s="77"/>
      <c r="C566" s="77"/>
      <c r="D566" s="78"/>
      <c r="E566" s="77"/>
      <c r="F566" s="77"/>
    </row>
    <row r="567" customFormat="false" ht="15" hidden="false" customHeight="false" outlineLevel="0" collapsed="false">
      <c r="A567" s="75"/>
      <c r="B567" s="77"/>
      <c r="C567" s="77"/>
      <c r="D567" s="78"/>
      <c r="E567" s="77"/>
      <c r="F567" s="77"/>
    </row>
    <row r="568" customFormat="false" ht="15" hidden="false" customHeight="false" outlineLevel="0" collapsed="false">
      <c r="A568" s="75"/>
      <c r="B568" s="77"/>
      <c r="C568" s="77"/>
      <c r="D568" s="78"/>
      <c r="E568" s="77"/>
      <c r="F568" s="77"/>
    </row>
    <row r="569" customFormat="false" ht="15" hidden="false" customHeight="false" outlineLevel="0" collapsed="false">
      <c r="A569" s="75"/>
      <c r="B569" s="77"/>
      <c r="C569" s="77"/>
      <c r="D569" s="78"/>
      <c r="E569" s="77"/>
      <c r="F569" s="77"/>
    </row>
    <row r="570" customFormat="false" ht="15" hidden="false" customHeight="false" outlineLevel="0" collapsed="false">
      <c r="A570" s="75"/>
      <c r="B570" s="77"/>
      <c r="C570" s="77"/>
      <c r="D570" s="78"/>
      <c r="E570" s="77"/>
      <c r="F570" s="77"/>
    </row>
    <row r="571" customFormat="false" ht="15" hidden="false" customHeight="false" outlineLevel="0" collapsed="false">
      <c r="A571" s="75"/>
      <c r="B571" s="77"/>
      <c r="C571" s="77"/>
      <c r="D571" s="78"/>
      <c r="E571" s="77"/>
      <c r="F571" s="77"/>
    </row>
    <row r="572" customFormat="false" ht="15" hidden="false" customHeight="false" outlineLevel="0" collapsed="false">
      <c r="A572" s="75"/>
      <c r="B572" s="77"/>
      <c r="C572" s="77"/>
      <c r="D572" s="78"/>
      <c r="E572" s="77"/>
      <c r="F572" s="77"/>
    </row>
    <row r="573" customFormat="false" ht="15" hidden="false" customHeight="false" outlineLevel="0" collapsed="false">
      <c r="A573" s="75"/>
      <c r="B573" s="77"/>
      <c r="C573" s="77"/>
      <c r="D573" s="78"/>
      <c r="E573" s="77"/>
      <c r="F573" s="77"/>
    </row>
    <row r="574" customFormat="false" ht="15" hidden="false" customHeight="false" outlineLevel="0" collapsed="false">
      <c r="A574" s="75"/>
      <c r="B574" s="77"/>
      <c r="C574" s="77"/>
      <c r="D574" s="78"/>
      <c r="E574" s="77"/>
      <c r="F574" s="77"/>
    </row>
    <row r="575" customFormat="false" ht="15" hidden="false" customHeight="false" outlineLevel="0" collapsed="false">
      <c r="A575" s="75"/>
      <c r="B575" s="77"/>
      <c r="C575" s="77"/>
      <c r="D575" s="78"/>
      <c r="E575" s="77"/>
      <c r="F575" s="77"/>
    </row>
    <row r="576" customFormat="false" ht="15" hidden="false" customHeight="false" outlineLevel="0" collapsed="false">
      <c r="A576" s="75"/>
      <c r="B576" s="77"/>
      <c r="C576" s="77"/>
      <c r="D576" s="78"/>
      <c r="E576" s="77"/>
      <c r="F576" s="77"/>
    </row>
    <row r="577" customFormat="false" ht="15" hidden="false" customHeight="false" outlineLevel="0" collapsed="false">
      <c r="A577" s="75"/>
      <c r="B577" s="77"/>
      <c r="C577" s="77"/>
      <c r="D577" s="78"/>
      <c r="E577" s="77"/>
      <c r="F577" s="77"/>
    </row>
    <row r="578" customFormat="false" ht="15" hidden="false" customHeight="false" outlineLevel="0" collapsed="false">
      <c r="A578" s="75"/>
      <c r="B578" s="77"/>
      <c r="C578" s="77"/>
      <c r="D578" s="78"/>
      <c r="E578" s="77"/>
      <c r="F578" s="77"/>
    </row>
    <row r="579" customFormat="false" ht="15" hidden="false" customHeight="false" outlineLevel="0" collapsed="false">
      <c r="A579" s="75"/>
      <c r="B579" s="77"/>
      <c r="C579" s="77"/>
      <c r="D579" s="78"/>
      <c r="E579" s="77"/>
      <c r="F579" s="77"/>
    </row>
    <row r="580" customFormat="false" ht="15" hidden="false" customHeight="false" outlineLevel="0" collapsed="false">
      <c r="A580" s="75"/>
      <c r="B580" s="77"/>
      <c r="C580" s="77"/>
      <c r="D580" s="78"/>
      <c r="E580" s="77"/>
      <c r="F580" s="77"/>
    </row>
    <row r="581" customFormat="false" ht="15" hidden="false" customHeight="false" outlineLevel="0" collapsed="false">
      <c r="A581" s="75"/>
      <c r="B581" s="77"/>
      <c r="C581" s="77"/>
      <c r="D581" s="78"/>
      <c r="E581" s="77"/>
      <c r="F581" s="77"/>
    </row>
    <row r="582" customFormat="false" ht="15" hidden="false" customHeight="false" outlineLevel="0" collapsed="false">
      <c r="A582" s="75"/>
      <c r="B582" s="77"/>
      <c r="C582" s="77"/>
      <c r="D582" s="78"/>
      <c r="E582" s="77"/>
      <c r="F582" s="77"/>
    </row>
    <row r="583" customFormat="false" ht="15" hidden="false" customHeight="false" outlineLevel="0" collapsed="false">
      <c r="A583" s="75"/>
      <c r="B583" s="77"/>
      <c r="C583" s="77"/>
      <c r="D583" s="78"/>
      <c r="E583" s="77"/>
      <c r="F583" s="77"/>
    </row>
    <row r="584" customFormat="false" ht="15" hidden="false" customHeight="false" outlineLevel="0" collapsed="false">
      <c r="A584" s="75"/>
      <c r="B584" s="77"/>
      <c r="C584" s="77"/>
      <c r="D584" s="78"/>
      <c r="E584" s="77"/>
      <c r="F584" s="77"/>
    </row>
    <row r="585" customFormat="false" ht="15" hidden="false" customHeight="false" outlineLevel="0" collapsed="false">
      <c r="A585" s="75"/>
      <c r="B585" s="77"/>
      <c r="C585" s="77"/>
      <c r="D585" s="78"/>
      <c r="E585" s="77"/>
      <c r="F585" s="77"/>
    </row>
    <row r="586" customFormat="false" ht="15" hidden="false" customHeight="false" outlineLevel="0" collapsed="false">
      <c r="A586" s="75"/>
      <c r="B586" s="77"/>
      <c r="C586" s="77"/>
      <c r="D586" s="78"/>
      <c r="E586" s="77"/>
      <c r="F586" s="77"/>
    </row>
    <row r="587" customFormat="false" ht="15" hidden="false" customHeight="false" outlineLevel="0" collapsed="false">
      <c r="A587" s="75"/>
      <c r="B587" s="77"/>
      <c r="C587" s="77"/>
      <c r="D587" s="78"/>
      <c r="E587" s="77"/>
      <c r="F587" s="77"/>
    </row>
    <row r="588" customFormat="false" ht="15" hidden="false" customHeight="false" outlineLevel="0" collapsed="false">
      <c r="A588" s="75"/>
      <c r="B588" s="77"/>
      <c r="C588" s="77"/>
      <c r="D588" s="78"/>
      <c r="E588" s="77"/>
      <c r="F588" s="77"/>
    </row>
    <row r="589" customFormat="false" ht="15" hidden="false" customHeight="false" outlineLevel="0" collapsed="false">
      <c r="A589" s="75"/>
      <c r="B589" s="77"/>
      <c r="C589" s="77"/>
      <c r="D589" s="78"/>
      <c r="E589" s="77"/>
      <c r="F589" s="77"/>
    </row>
    <row r="590" customFormat="false" ht="15" hidden="false" customHeight="false" outlineLevel="0" collapsed="false">
      <c r="A590" s="75"/>
      <c r="B590" s="77"/>
      <c r="C590" s="77"/>
      <c r="D590" s="78"/>
      <c r="E590" s="77"/>
      <c r="F590" s="77"/>
    </row>
    <row r="591" customFormat="false" ht="15" hidden="false" customHeight="false" outlineLevel="0" collapsed="false">
      <c r="A591" s="75"/>
      <c r="B591" s="77"/>
      <c r="C591" s="77"/>
      <c r="D591" s="78"/>
      <c r="E591" s="77"/>
      <c r="F591" s="77"/>
    </row>
    <row r="592" customFormat="false" ht="15" hidden="false" customHeight="false" outlineLevel="0" collapsed="false">
      <c r="A592" s="75"/>
      <c r="B592" s="77"/>
      <c r="C592" s="77"/>
      <c r="D592" s="78"/>
      <c r="E592" s="77"/>
      <c r="F592" s="77"/>
    </row>
    <row r="593" customFormat="false" ht="15" hidden="false" customHeight="false" outlineLevel="0" collapsed="false">
      <c r="A593" s="75"/>
      <c r="B593" s="77"/>
      <c r="C593" s="77"/>
      <c r="D593" s="78"/>
      <c r="E593" s="77"/>
      <c r="F593" s="77"/>
    </row>
    <row r="594" customFormat="false" ht="15" hidden="false" customHeight="false" outlineLevel="0" collapsed="false">
      <c r="A594" s="75"/>
      <c r="B594" s="77"/>
      <c r="C594" s="77"/>
      <c r="D594" s="78"/>
      <c r="E594" s="77"/>
      <c r="F594" s="77"/>
    </row>
    <row r="595" customFormat="false" ht="15" hidden="false" customHeight="false" outlineLevel="0" collapsed="false">
      <c r="A595" s="75"/>
      <c r="B595" s="77"/>
      <c r="C595" s="77"/>
      <c r="D595" s="78"/>
      <c r="E595" s="77"/>
      <c r="F595" s="77"/>
    </row>
    <row r="596" customFormat="false" ht="15" hidden="false" customHeight="false" outlineLevel="0" collapsed="false">
      <c r="A596" s="75"/>
      <c r="B596" s="77"/>
      <c r="C596" s="77"/>
      <c r="D596" s="78"/>
      <c r="E596" s="77"/>
      <c r="F596" s="77"/>
    </row>
    <row r="597" customFormat="false" ht="15" hidden="false" customHeight="false" outlineLevel="0" collapsed="false">
      <c r="A597" s="75"/>
      <c r="B597" s="77"/>
      <c r="C597" s="77"/>
      <c r="D597" s="78"/>
      <c r="E597" s="77"/>
      <c r="F597" s="77"/>
    </row>
    <row r="598" customFormat="false" ht="15" hidden="false" customHeight="false" outlineLevel="0" collapsed="false">
      <c r="A598" s="75"/>
      <c r="B598" s="77"/>
      <c r="C598" s="77"/>
      <c r="D598" s="78"/>
      <c r="E598" s="77"/>
      <c r="F598" s="77"/>
    </row>
    <row r="599" customFormat="false" ht="15" hidden="false" customHeight="false" outlineLevel="0" collapsed="false">
      <c r="A599" s="75"/>
      <c r="B599" s="77"/>
      <c r="C599" s="77"/>
      <c r="D599" s="78"/>
      <c r="E599" s="77"/>
      <c r="F599" s="77"/>
    </row>
    <row r="600" customFormat="false" ht="15" hidden="false" customHeight="false" outlineLevel="0" collapsed="false">
      <c r="A600" s="75"/>
      <c r="B600" s="77"/>
      <c r="C600" s="77"/>
      <c r="D600" s="78"/>
      <c r="E600" s="77"/>
      <c r="F600" s="77"/>
    </row>
    <row r="601" customFormat="false" ht="15" hidden="false" customHeight="false" outlineLevel="0" collapsed="false">
      <c r="A601" s="75"/>
      <c r="B601" s="77"/>
      <c r="C601" s="77"/>
      <c r="D601" s="78"/>
      <c r="E601" s="77"/>
      <c r="F601" s="77"/>
    </row>
    <row r="602" customFormat="false" ht="15" hidden="false" customHeight="false" outlineLevel="0" collapsed="false">
      <c r="A602" s="75"/>
      <c r="B602" s="77"/>
      <c r="C602" s="77"/>
      <c r="D602" s="78"/>
      <c r="E602" s="77"/>
      <c r="F602" s="77"/>
    </row>
    <row r="603" customFormat="false" ht="15" hidden="false" customHeight="false" outlineLevel="0" collapsed="false">
      <c r="A603" s="75"/>
      <c r="B603" s="77"/>
      <c r="C603" s="77"/>
      <c r="D603" s="78"/>
      <c r="E603" s="77"/>
      <c r="F603" s="77"/>
    </row>
    <row r="604" customFormat="false" ht="15" hidden="false" customHeight="false" outlineLevel="0" collapsed="false">
      <c r="A604" s="75"/>
      <c r="B604" s="77"/>
      <c r="C604" s="77"/>
      <c r="D604" s="78"/>
      <c r="E604" s="77"/>
      <c r="F604" s="77"/>
    </row>
    <row r="605" customFormat="false" ht="15" hidden="false" customHeight="false" outlineLevel="0" collapsed="false">
      <c r="A605" s="75"/>
      <c r="B605" s="77"/>
      <c r="C605" s="77"/>
      <c r="D605" s="78"/>
      <c r="E605" s="77"/>
      <c r="F605" s="77"/>
    </row>
    <row r="606" customFormat="false" ht="15" hidden="false" customHeight="false" outlineLevel="0" collapsed="false">
      <c r="A606" s="75"/>
      <c r="B606" s="77"/>
      <c r="C606" s="77"/>
      <c r="D606" s="78"/>
      <c r="E606" s="77"/>
      <c r="F606" s="77"/>
    </row>
    <row r="607" customFormat="false" ht="15" hidden="false" customHeight="false" outlineLevel="0" collapsed="false">
      <c r="A607" s="75"/>
      <c r="B607" s="77"/>
      <c r="C607" s="77"/>
      <c r="D607" s="78"/>
      <c r="E607" s="77"/>
      <c r="F607" s="77"/>
    </row>
    <row r="608" customFormat="false" ht="15" hidden="false" customHeight="false" outlineLevel="0" collapsed="false">
      <c r="A608" s="75"/>
      <c r="B608" s="77"/>
      <c r="C608" s="77"/>
      <c r="D608" s="78"/>
      <c r="E608" s="77"/>
      <c r="F608" s="77"/>
    </row>
    <row r="609" customFormat="false" ht="15" hidden="false" customHeight="false" outlineLevel="0" collapsed="false">
      <c r="A609" s="75"/>
      <c r="B609" s="77"/>
      <c r="C609" s="77"/>
      <c r="D609" s="78"/>
      <c r="E609" s="77"/>
      <c r="F609" s="77"/>
    </row>
    <row r="610" customFormat="false" ht="15" hidden="false" customHeight="false" outlineLevel="0" collapsed="false">
      <c r="A610" s="75"/>
      <c r="B610" s="77"/>
      <c r="C610" s="77"/>
      <c r="D610" s="78"/>
      <c r="E610" s="77"/>
      <c r="F610" s="77"/>
    </row>
    <row r="611" customFormat="false" ht="15" hidden="false" customHeight="false" outlineLevel="0" collapsed="false">
      <c r="A611" s="75"/>
      <c r="B611" s="77"/>
      <c r="C611" s="77"/>
      <c r="D611" s="78"/>
      <c r="E611" s="77"/>
      <c r="F611" s="77"/>
    </row>
    <row r="612" customFormat="false" ht="15" hidden="false" customHeight="false" outlineLevel="0" collapsed="false">
      <c r="A612" s="75"/>
      <c r="B612" s="77"/>
      <c r="C612" s="77"/>
      <c r="D612" s="78"/>
      <c r="E612" s="77"/>
      <c r="F612" s="77"/>
    </row>
    <row r="613" customFormat="false" ht="15" hidden="false" customHeight="false" outlineLevel="0" collapsed="false">
      <c r="A613" s="75"/>
      <c r="B613" s="77"/>
      <c r="C613" s="77"/>
      <c r="D613" s="78"/>
      <c r="E613" s="77"/>
      <c r="F613" s="77"/>
    </row>
    <row r="614" customFormat="false" ht="15" hidden="false" customHeight="false" outlineLevel="0" collapsed="false">
      <c r="A614" s="75"/>
      <c r="B614" s="77"/>
      <c r="C614" s="77"/>
      <c r="D614" s="78"/>
      <c r="E614" s="77"/>
      <c r="F614" s="77"/>
    </row>
    <row r="615" customFormat="false" ht="15" hidden="false" customHeight="false" outlineLevel="0" collapsed="false">
      <c r="A615" s="75"/>
      <c r="B615" s="77"/>
      <c r="C615" s="77"/>
      <c r="D615" s="78"/>
      <c r="E615" s="77"/>
      <c r="F615" s="77"/>
    </row>
    <row r="616" customFormat="false" ht="15" hidden="false" customHeight="false" outlineLevel="0" collapsed="false">
      <c r="A616" s="75"/>
      <c r="B616" s="77"/>
      <c r="C616" s="77"/>
      <c r="D616" s="78"/>
      <c r="E616" s="77"/>
      <c r="F616" s="77"/>
    </row>
    <row r="617" customFormat="false" ht="15" hidden="false" customHeight="false" outlineLevel="0" collapsed="false">
      <c r="A617" s="75"/>
      <c r="B617" s="77"/>
      <c r="C617" s="77"/>
      <c r="D617" s="78"/>
      <c r="E617" s="77"/>
      <c r="F617" s="77"/>
    </row>
    <row r="618" customFormat="false" ht="15" hidden="false" customHeight="false" outlineLevel="0" collapsed="false">
      <c r="A618" s="75"/>
      <c r="B618" s="77"/>
      <c r="C618" s="77"/>
      <c r="D618" s="78"/>
      <c r="E618" s="77"/>
      <c r="F618" s="77"/>
    </row>
    <row r="619" customFormat="false" ht="15" hidden="false" customHeight="false" outlineLevel="0" collapsed="false">
      <c r="A619" s="75"/>
      <c r="B619" s="77"/>
      <c r="C619" s="77"/>
      <c r="D619" s="78"/>
      <c r="E619" s="77"/>
      <c r="F619" s="77"/>
    </row>
    <row r="620" customFormat="false" ht="15" hidden="false" customHeight="false" outlineLevel="0" collapsed="false">
      <c r="A620" s="75"/>
      <c r="B620" s="77"/>
      <c r="C620" s="77"/>
      <c r="D620" s="78"/>
      <c r="E620" s="77"/>
      <c r="F620" s="77"/>
    </row>
    <row r="621" customFormat="false" ht="15" hidden="false" customHeight="false" outlineLevel="0" collapsed="false">
      <c r="A621" s="75"/>
      <c r="B621" s="77"/>
      <c r="C621" s="77"/>
      <c r="D621" s="78"/>
      <c r="E621" s="77"/>
      <c r="F621" s="77"/>
    </row>
    <row r="622" customFormat="false" ht="15" hidden="false" customHeight="false" outlineLevel="0" collapsed="false">
      <c r="A622" s="75"/>
      <c r="B622" s="77"/>
      <c r="C622" s="77"/>
      <c r="D622" s="78"/>
      <c r="E622" s="77"/>
      <c r="F622" s="77"/>
    </row>
    <row r="623" customFormat="false" ht="15" hidden="false" customHeight="false" outlineLevel="0" collapsed="false">
      <c r="A623" s="75"/>
      <c r="B623" s="77"/>
      <c r="C623" s="77"/>
      <c r="D623" s="78"/>
      <c r="E623" s="77"/>
      <c r="F623" s="77"/>
    </row>
    <row r="624" customFormat="false" ht="15" hidden="false" customHeight="false" outlineLevel="0" collapsed="false">
      <c r="A624" s="75"/>
      <c r="B624" s="77"/>
      <c r="C624" s="77"/>
      <c r="D624" s="78"/>
      <c r="E624" s="77"/>
      <c r="F624" s="77"/>
    </row>
    <row r="625" customFormat="false" ht="15" hidden="false" customHeight="false" outlineLevel="0" collapsed="false">
      <c r="A625" s="75"/>
      <c r="B625" s="77"/>
      <c r="C625" s="77"/>
      <c r="D625" s="78"/>
      <c r="E625" s="77"/>
      <c r="F625" s="77"/>
    </row>
    <row r="626" customFormat="false" ht="15" hidden="false" customHeight="false" outlineLevel="0" collapsed="false">
      <c r="A626" s="75"/>
      <c r="B626" s="77"/>
      <c r="C626" s="77"/>
      <c r="D626" s="78"/>
      <c r="E626" s="77"/>
      <c r="F626" s="77"/>
    </row>
    <row r="627" customFormat="false" ht="15" hidden="false" customHeight="false" outlineLevel="0" collapsed="false">
      <c r="A627" s="75"/>
      <c r="B627" s="77"/>
      <c r="C627" s="77"/>
      <c r="D627" s="78"/>
      <c r="E627" s="77"/>
      <c r="F627" s="77"/>
    </row>
    <row r="628" customFormat="false" ht="15" hidden="false" customHeight="false" outlineLevel="0" collapsed="false">
      <c r="A628" s="75"/>
      <c r="B628" s="77"/>
      <c r="C628" s="77"/>
      <c r="D628" s="78"/>
      <c r="E628" s="77"/>
      <c r="F628" s="77"/>
    </row>
    <row r="629" customFormat="false" ht="15" hidden="false" customHeight="false" outlineLevel="0" collapsed="false">
      <c r="A629" s="75"/>
      <c r="B629" s="77"/>
      <c r="C629" s="77"/>
      <c r="D629" s="78"/>
      <c r="E629" s="77"/>
      <c r="F629" s="77"/>
    </row>
    <row r="630" customFormat="false" ht="15" hidden="false" customHeight="false" outlineLevel="0" collapsed="false">
      <c r="A630" s="75"/>
      <c r="B630" s="77"/>
      <c r="C630" s="77"/>
      <c r="D630" s="78"/>
      <c r="E630" s="77"/>
      <c r="F630" s="77"/>
    </row>
    <row r="631" customFormat="false" ht="15" hidden="false" customHeight="false" outlineLevel="0" collapsed="false">
      <c r="A631" s="75"/>
      <c r="B631" s="77"/>
      <c r="C631" s="77"/>
      <c r="D631" s="78"/>
      <c r="E631" s="77"/>
      <c r="F631" s="77"/>
    </row>
    <row r="632" customFormat="false" ht="15" hidden="false" customHeight="false" outlineLevel="0" collapsed="false">
      <c r="A632" s="75"/>
      <c r="B632" s="77"/>
      <c r="C632" s="77"/>
      <c r="D632" s="78"/>
      <c r="E632" s="77"/>
      <c r="F632" s="77"/>
    </row>
    <row r="633" customFormat="false" ht="15" hidden="false" customHeight="false" outlineLevel="0" collapsed="false">
      <c r="A633" s="75"/>
      <c r="B633" s="77"/>
      <c r="C633" s="77"/>
      <c r="D633" s="78"/>
      <c r="E633" s="77"/>
      <c r="F633" s="77"/>
    </row>
    <row r="634" customFormat="false" ht="15" hidden="false" customHeight="false" outlineLevel="0" collapsed="false">
      <c r="A634" s="75"/>
      <c r="B634" s="77"/>
      <c r="C634" s="77"/>
      <c r="D634" s="78"/>
      <c r="E634" s="77"/>
      <c r="F634" s="77"/>
    </row>
    <row r="635" customFormat="false" ht="15" hidden="false" customHeight="false" outlineLevel="0" collapsed="false">
      <c r="A635" s="75"/>
      <c r="B635" s="77"/>
      <c r="C635" s="77"/>
      <c r="D635" s="78"/>
      <c r="E635" s="77"/>
      <c r="F635" s="77"/>
    </row>
    <row r="636" customFormat="false" ht="15" hidden="false" customHeight="false" outlineLevel="0" collapsed="false">
      <c r="A636" s="75"/>
      <c r="B636" s="77"/>
      <c r="C636" s="77"/>
      <c r="D636" s="78"/>
      <c r="E636" s="77"/>
      <c r="F636" s="77"/>
    </row>
    <row r="637" customFormat="false" ht="15" hidden="false" customHeight="false" outlineLevel="0" collapsed="false">
      <c r="A637" s="75"/>
      <c r="B637" s="77"/>
      <c r="C637" s="77"/>
      <c r="D637" s="78"/>
      <c r="E637" s="77"/>
      <c r="F637" s="77"/>
    </row>
    <row r="638" customFormat="false" ht="15" hidden="false" customHeight="false" outlineLevel="0" collapsed="false">
      <c r="A638" s="75"/>
      <c r="B638" s="77"/>
      <c r="C638" s="77"/>
      <c r="D638" s="78"/>
      <c r="E638" s="77"/>
      <c r="F638" s="77"/>
    </row>
    <row r="639" customFormat="false" ht="15" hidden="false" customHeight="false" outlineLevel="0" collapsed="false">
      <c r="A639" s="75"/>
      <c r="B639" s="77"/>
      <c r="C639" s="77"/>
      <c r="D639" s="78"/>
      <c r="E639" s="77"/>
      <c r="F639" s="77"/>
    </row>
    <row r="640" customFormat="false" ht="15" hidden="false" customHeight="false" outlineLevel="0" collapsed="false">
      <c r="A640" s="75"/>
      <c r="B640" s="77"/>
      <c r="C640" s="77"/>
      <c r="D640" s="78"/>
      <c r="E640" s="77"/>
      <c r="F640" s="77"/>
    </row>
    <row r="641" customFormat="false" ht="15" hidden="false" customHeight="false" outlineLevel="0" collapsed="false">
      <c r="A641" s="75"/>
      <c r="B641" s="77"/>
      <c r="C641" s="77"/>
      <c r="D641" s="78"/>
      <c r="E641" s="77"/>
      <c r="F641" s="77"/>
    </row>
    <row r="642" customFormat="false" ht="15" hidden="false" customHeight="false" outlineLevel="0" collapsed="false">
      <c r="A642" s="75"/>
      <c r="B642" s="77"/>
      <c r="C642" s="77"/>
      <c r="D642" s="78"/>
      <c r="E642" s="77"/>
      <c r="F642" s="77"/>
    </row>
    <row r="643" customFormat="false" ht="15" hidden="false" customHeight="false" outlineLevel="0" collapsed="false">
      <c r="A643" s="75"/>
      <c r="B643" s="77"/>
      <c r="C643" s="77"/>
      <c r="D643" s="78"/>
      <c r="E643" s="77"/>
      <c r="F643" s="77"/>
    </row>
    <row r="644" customFormat="false" ht="15" hidden="false" customHeight="false" outlineLevel="0" collapsed="false">
      <c r="A644" s="75"/>
      <c r="B644" s="77"/>
      <c r="C644" s="77"/>
      <c r="D644" s="78"/>
      <c r="E644" s="77"/>
      <c r="F644" s="77"/>
    </row>
    <row r="645" customFormat="false" ht="15" hidden="false" customHeight="false" outlineLevel="0" collapsed="false">
      <c r="A645" s="75"/>
      <c r="B645" s="77"/>
      <c r="C645" s="77"/>
      <c r="D645" s="78"/>
      <c r="E645" s="77"/>
      <c r="F645" s="77"/>
    </row>
    <row r="646" customFormat="false" ht="15" hidden="false" customHeight="false" outlineLevel="0" collapsed="false">
      <c r="A646" s="75"/>
      <c r="B646" s="77"/>
      <c r="C646" s="77"/>
      <c r="D646" s="78"/>
      <c r="E646" s="77"/>
      <c r="F646" s="77"/>
    </row>
    <row r="647" customFormat="false" ht="15" hidden="false" customHeight="false" outlineLevel="0" collapsed="false">
      <c r="A647" s="75"/>
      <c r="B647" s="77"/>
      <c r="C647" s="77"/>
      <c r="D647" s="78"/>
      <c r="E647" s="77"/>
      <c r="F647" s="77"/>
    </row>
    <row r="648" customFormat="false" ht="15" hidden="false" customHeight="false" outlineLevel="0" collapsed="false">
      <c r="A648" s="75"/>
      <c r="B648" s="77"/>
      <c r="C648" s="77"/>
      <c r="D648" s="78"/>
      <c r="E648" s="77"/>
      <c r="F648" s="77"/>
    </row>
    <row r="649" customFormat="false" ht="15" hidden="false" customHeight="false" outlineLevel="0" collapsed="false">
      <c r="A649" s="75"/>
      <c r="B649" s="77"/>
      <c r="C649" s="77"/>
      <c r="D649" s="78"/>
      <c r="E649" s="77"/>
      <c r="F649" s="77"/>
    </row>
    <row r="650" customFormat="false" ht="15" hidden="false" customHeight="false" outlineLevel="0" collapsed="false">
      <c r="A650" s="75"/>
      <c r="B650" s="77"/>
      <c r="C650" s="77"/>
      <c r="D650" s="78"/>
      <c r="E650" s="77"/>
      <c r="F650" s="77"/>
    </row>
    <row r="651" customFormat="false" ht="15" hidden="false" customHeight="false" outlineLevel="0" collapsed="false">
      <c r="A651" s="75"/>
      <c r="B651" s="77"/>
      <c r="C651" s="77"/>
      <c r="D651" s="78"/>
      <c r="E651" s="77"/>
      <c r="F651" s="77"/>
    </row>
    <row r="652" customFormat="false" ht="15" hidden="false" customHeight="false" outlineLevel="0" collapsed="false">
      <c r="A652" s="75"/>
      <c r="B652" s="77"/>
      <c r="C652" s="77"/>
      <c r="D652" s="78"/>
      <c r="E652" s="77"/>
      <c r="F652" s="77"/>
    </row>
    <row r="653" customFormat="false" ht="15" hidden="false" customHeight="false" outlineLevel="0" collapsed="false">
      <c r="A653" s="75"/>
      <c r="B653" s="77"/>
      <c r="C653" s="77"/>
      <c r="D653" s="78"/>
      <c r="E653" s="77"/>
      <c r="F653" s="77"/>
    </row>
    <row r="654" customFormat="false" ht="15" hidden="false" customHeight="false" outlineLevel="0" collapsed="false">
      <c r="A654" s="75"/>
      <c r="B654" s="77"/>
      <c r="C654" s="77"/>
      <c r="D654" s="78"/>
      <c r="E654" s="77"/>
      <c r="F654" s="77"/>
    </row>
    <row r="655" customFormat="false" ht="15" hidden="false" customHeight="false" outlineLevel="0" collapsed="false">
      <c r="A655" s="75"/>
      <c r="B655" s="77"/>
      <c r="C655" s="77"/>
      <c r="D655" s="78"/>
      <c r="E655" s="77"/>
      <c r="F655" s="77"/>
    </row>
    <row r="656" customFormat="false" ht="15" hidden="false" customHeight="false" outlineLevel="0" collapsed="false">
      <c r="A656" s="75"/>
      <c r="B656" s="77"/>
      <c r="C656" s="77"/>
      <c r="D656" s="78"/>
      <c r="E656" s="77"/>
      <c r="F656" s="77"/>
    </row>
    <row r="657" customFormat="false" ht="15" hidden="false" customHeight="false" outlineLevel="0" collapsed="false">
      <c r="A657" s="75"/>
      <c r="B657" s="77"/>
      <c r="C657" s="77"/>
      <c r="D657" s="78"/>
      <c r="E657" s="77"/>
      <c r="F657" s="77"/>
    </row>
    <row r="658" customFormat="false" ht="15" hidden="false" customHeight="false" outlineLevel="0" collapsed="false">
      <c r="A658" s="75"/>
      <c r="B658" s="77"/>
      <c r="C658" s="77"/>
      <c r="D658" s="78"/>
      <c r="E658" s="77"/>
      <c r="F658" s="77"/>
    </row>
    <row r="659" customFormat="false" ht="15" hidden="false" customHeight="false" outlineLevel="0" collapsed="false">
      <c r="A659" s="75"/>
      <c r="B659" s="77"/>
      <c r="C659" s="77"/>
      <c r="D659" s="78"/>
      <c r="E659" s="77"/>
      <c r="F659" s="77"/>
    </row>
    <row r="660" customFormat="false" ht="15" hidden="false" customHeight="false" outlineLevel="0" collapsed="false">
      <c r="A660" s="75"/>
      <c r="B660" s="77"/>
      <c r="C660" s="77"/>
      <c r="D660" s="78"/>
      <c r="E660" s="77"/>
      <c r="F660" s="77"/>
    </row>
    <row r="661" customFormat="false" ht="15" hidden="false" customHeight="false" outlineLevel="0" collapsed="false">
      <c r="A661" s="75"/>
      <c r="B661" s="77"/>
      <c r="C661" s="77"/>
      <c r="D661" s="78"/>
      <c r="E661" s="77"/>
      <c r="F661" s="77"/>
    </row>
    <row r="662" customFormat="false" ht="15" hidden="false" customHeight="false" outlineLevel="0" collapsed="false">
      <c r="A662" s="75"/>
      <c r="B662" s="77"/>
      <c r="C662" s="77"/>
      <c r="D662" s="78"/>
      <c r="E662" s="77"/>
      <c r="F662" s="77"/>
    </row>
    <row r="663" customFormat="false" ht="15" hidden="false" customHeight="false" outlineLevel="0" collapsed="false">
      <c r="A663" s="75"/>
      <c r="B663" s="77"/>
      <c r="C663" s="77"/>
      <c r="D663" s="78"/>
      <c r="E663" s="77"/>
      <c r="F663" s="77"/>
    </row>
    <row r="664" customFormat="false" ht="15" hidden="false" customHeight="false" outlineLevel="0" collapsed="false">
      <c r="A664" s="75"/>
      <c r="B664" s="77"/>
      <c r="C664" s="77"/>
      <c r="D664" s="78"/>
      <c r="E664" s="77"/>
      <c r="F664" s="77"/>
    </row>
    <row r="665" customFormat="false" ht="15" hidden="false" customHeight="false" outlineLevel="0" collapsed="false">
      <c r="A665" s="75"/>
      <c r="B665" s="77"/>
      <c r="C665" s="77"/>
      <c r="D665" s="78"/>
      <c r="E665" s="77"/>
      <c r="F665" s="77"/>
    </row>
    <row r="666" customFormat="false" ht="15" hidden="false" customHeight="false" outlineLevel="0" collapsed="false">
      <c r="A666" s="75"/>
      <c r="B666" s="77"/>
      <c r="C666" s="77"/>
      <c r="D666" s="78"/>
      <c r="E666" s="77"/>
      <c r="F666" s="77"/>
    </row>
    <row r="667" customFormat="false" ht="15" hidden="false" customHeight="false" outlineLevel="0" collapsed="false">
      <c r="A667" s="75"/>
      <c r="B667" s="77"/>
      <c r="C667" s="77"/>
      <c r="D667" s="78"/>
      <c r="E667" s="77"/>
      <c r="F667" s="77"/>
    </row>
    <row r="668" customFormat="false" ht="15" hidden="false" customHeight="false" outlineLevel="0" collapsed="false">
      <c r="A668" s="75"/>
      <c r="B668" s="77"/>
      <c r="C668" s="77"/>
      <c r="D668" s="78"/>
      <c r="E668" s="77"/>
      <c r="F668" s="77"/>
    </row>
    <row r="669" customFormat="false" ht="15" hidden="false" customHeight="false" outlineLevel="0" collapsed="false">
      <c r="A669" s="75"/>
      <c r="B669" s="77"/>
      <c r="C669" s="77"/>
      <c r="D669" s="78"/>
      <c r="E669" s="77"/>
      <c r="F669" s="77"/>
    </row>
    <row r="670" customFormat="false" ht="15" hidden="false" customHeight="false" outlineLevel="0" collapsed="false">
      <c r="A670" s="75"/>
      <c r="B670" s="77"/>
      <c r="C670" s="77"/>
      <c r="D670" s="78"/>
      <c r="E670" s="77"/>
      <c r="F670" s="77"/>
    </row>
    <row r="671" customFormat="false" ht="15" hidden="false" customHeight="false" outlineLevel="0" collapsed="false">
      <c r="A671" s="75"/>
      <c r="B671" s="77"/>
      <c r="C671" s="77"/>
      <c r="D671" s="78"/>
      <c r="E671" s="77"/>
      <c r="F671" s="77"/>
    </row>
    <row r="672" customFormat="false" ht="15" hidden="false" customHeight="false" outlineLevel="0" collapsed="false">
      <c r="A672" s="75"/>
      <c r="B672" s="77"/>
      <c r="C672" s="77"/>
      <c r="D672" s="78"/>
      <c r="E672" s="77"/>
      <c r="F672" s="77"/>
    </row>
    <row r="673" customFormat="false" ht="15" hidden="false" customHeight="false" outlineLevel="0" collapsed="false">
      <c r="A673" s="75"/>
      <c r="B673" s="77"/>
      <c r="C673" s="77"/>
      <c r="D673" s="78"/>
      <c r="E673" s="77"/>
      <c r="F673" s="77"/>
    </row>
    <row r="674" customFormat="false" ht="15" hidden="false" customHeight="false" outlineLevel="0" collapsed="false">
      <c r="A674" s="75"/>
      <c r="B674" s="77"/>
      <c r="C674" s="77"/>
      <c r="D674" s="78"/>
      <c r="E674" s="77"/>
      <c r="F674" s="77"/>
    </row>
    <row r="675" customFormat="false" ht="15" hidden="false" customHeight="false" outlineLevel="0" collapsed="false">
      <c r="A675" s="75"/>
      <c r="B675" s="77"/>
      <c r="C675" s="77"/>
      <c r="D675" s="78"/>
      <c r="E675" s="77"/>
      <c r="F675" s="77"/>
    </row>
    <row r="676" customFormat="false" ht="15" hidden="false" customHeight="false" outlineLevel="0" collapsed="false">
      <c r="A676" s="75"/>
      <c r="B676" s="77"/>
      <c r="C676" s="77"/>
      <c r="D676" s="78"/>
      <c r="E676" s="77"/>
      <c r="F676" s="77"/>
    </row>
    <row r="677" customFormat="false" ht="15" hidden="false" customHeight="false" outlineLevel="0" collapsed="false">
      <c r="A677" s="75"/>
      <c r="B677" s="77"/>
      <c r="C677" s="77"/>
      <c r="D677" s="78"/>
      <c r="E677" s="77"/>
      <c r="F677" s="77"/>
    </row>
    <row r="678" customFormat="false" ht="15" hidden="false" customHeight="false" outlineLevel="0" collapsed="false">
      <c r="A678" s="75"/>
      <c r="B678" s="77"/>
      <c r="C678" s="77"/>
      <c r="D678" s="78"/>
      <c r="E678" s="77"/>
      <c r="F678" s="77"/>
    </row>
    <row r="679" customFormat="false" ht="15" hidden="false" customHeight="false" outlineLevel="0" collapsed="false">
      <c r="A679" s="75"/>
      <c r="B679" s="77"/>
      <c r="C679" s="77"/>
      <c r="D679" s="78"/>
      <c r="E679" s="77"/>
      <c r="F679" s="77"/>
    </row>
    <row r="680" customFormat="false" ht="15" hidden="false" customHeight="false" outlineLevel="0" collapsed="false">
      <c r="A680" s="75"/>
      <c r="B680" s="77"/>
      <c r="C680" s="77"/>
      <c r="D680" s="78"/>
      <c r="E680" s="77"/>
      <c r="F680" s="77"/>
    </row>
    <row r="681" customFormat="false" ht="15" hidden="false" customHeight="false" outlineLevel="0" collapsed="false">
      <c r="A681" s="75"/>
      <c r="B681" s="77"/>
      <c r="C681" s="77"/>
      <c r="D681" s="78"/>
      <c r="E681" s="77"/>
      <c r="F681" s="77"/>
    </row>
    <row r="682" customFormat="false" ht="15" hidden="false" customHeight="false" outlineLevel="0" collapsed="false">
      <c r="A682" s="75"/>
      <c r="B682" s="77"/>
      <c r="C682" s="77"/>
      <c r="D682" s="78"/>
      <c r="E682" s="77"/>
      <c r="F682" s="77"/>
    </row>
    <row r="683" customFormat="false" ht="15" hidden="false" customHeight="false" outlineLevel="0" collapsed="false">
      <c r="A683" s="75"/>
      <c r="B683" s="77"/>
      <c r="C683" s="77"/>
      <c r="D683" s="78"/>
      <c r="E683" s="77"/>
      <c r="F683" s="77"/>
    </row>
    <row r="684" customFormat="false" ht="15" hidden="false" customHeight="false" outlineLevel="0" collapsed="false">
      <c r="A684" s="75"/>
      <c r="B684" s="77"/>
      <c r="C684" s="77"/>
      <c r="D684" s="78"/>
      <c r="E684" s="77"/>
      <c r="F684" s="77"/>
    </row>
    <row r="685" customFormat="false" ht="15" hidden="false" customHeight="false" outlineLevel="0" collapsed="false">
      <c r="A685" s="75"/>
      <c r="B685" s="77"/>
      <c r="C685" s="77"/>
      <c r="D685" s="78"/>
      <c r="E685" s="77"/>
      <c r="F685" s="77"/>
    </row>
    <row r="686" customFormat="false" ht="15" hidden="false" customHeight="false" outlineLevel="0" collapsed="false">
      <c r="A686" s="75"/>
      <c r="B686" s="77"/>
      <c r="C686" s="77"/>
      <c r="D686" s="78"/>
      <c r="E686" s="77"/>
      <c r="F686" s="77"/>
    </row>
    <row r="687" customFormat="false" ht="15" hidden="false" customHeight="false" outlineLevel="0" collapsed="false">
      <c r="A687" s="75"/>
      <c r="B687" s="77"/>
      <c r="C687" s="77"/>
      <c r="D687" s="78"/>
      <c r="E687" s="77"/>
      <c r="F687" s="77"/>
    </row>
    <row r="688" customFormat="false" ht="15" hidden="false" customHeight="false" outlineLevel="0" collapsed="false">
      <c r="A688" s="75"/>
      <c r="B688" s="77"/>
      <c r="C688" s="77"/>
      <c r="D688" s="78"/>
      <c r="E688" s="77"/>
      <c r="F688" s="77"/>
    </row>
    <row r="689" customFormat="false" ht="15" hidden="false" customHeight="false" outlineLevel="0" collapsed="false">
      <c r="A689" s="75"/>
      <c r="B689" s="77"/>
      <c r="C689" s="77"/>
      <c r="D689" s="78"/>
      <c r="E689" s="77"/>
      <c r="F689" s="77"/>
    </row>
    <row r="690" customFormat="false" ht="15" hidden="false" customHeight="false" outlineLevel="0" collapsed="false">
      <c r="A690" s="75"/>
      <c r="B690" s="77"/>
      <c r="C690" s="77"/>
      <c r="D690" s="78"/>
      <c r="E690" s="77"/>
      <c r="F690" s="77"/>
    </row>
    <row r="691" customFormat="false" ht="15" hidden="false" customHeight="false" outlineLevel="0" collapsed="false">
      <c r="A691" s="75"/>
      <c r="B691" s="77"/>
      <c r="C691" s="77"/>
      <c r="D691" s="78"/>
      <c r="E691" s="77"/>
      <c r="F691" s="77"/>
    </row>
    <row r="692" customFormat="false" ht="15" hidden="false" customHeight="false" outlineLevel="0" collapsed="false">
      <c r="A692" s="75"/>
      <c r="B692" s="77"/>
      <c r="C692" s="77"/>
      <c r="D692" s="78"/>
      <c r="E692" s="77"/>
      <c r="F692" s="77"/>
    </row>
    <row r="693" customFormat="false" ht="15" hidden="false" customHeight="false" outlineLevel="0" collapsed="false">
      <c r="A693" s="75"/>
      <c r="B693" s="77"/>
      <c r="C693" s="77"/>
      <c r="D693" s="78"/>
      <c r="E693" s="77"/>
      <c r="F693" s="77"/>
    </row>
    <row r="694" customFormat="false" ht="15" hidden="false" customHeight="false" outlineLevel="0" collapsed="false">
      <c r="A694" s="75"/>
      <c r="B694" s="77"/>
      <c r="C694" s="77"/>
      <c r="D694" s="78"/>
      <c r="E694" s="77"/>
      <c r="F694" s="77"/>
    </row>
    <row r="695" customFormat="false" ht="15" hidden="false" customHeight="false" outlineLevel="0" collapsed="false">
      <c r="A695" s="75"/>
      <c r="B695" s="77"/>
      <c r="C695" s="77"/>
      <c r="D695" s="78"/>
      <c r="E695" s="77"/>
      <c r="F695" s="77"/>
    </row>
    <row r="696" customFormat="false" ht="15" hidden="false" customHeight="false" outlineLevel="0" collapsed="false">
      <c r="A696" s="75"/>
      <c r="B696" s="77"/>
      <c r="C696" s="77"/>
      <c r="D696" s="78"/>
      <c r="E696" s="77"/>
      <c r="F696" s="77"/>
    </row>
    <row r="697" customFormat="false" ht="15" hidden="false" customHeight="false" outlineLevel="0" collapsed="false">
      <c r="A697" s="75"/>
      <c r="B697" s="77"/>
      <c r="C697" s="77"/>
      <c r="D697" s="78"/>
      <c r="E697" s="77"/>
      <c r="F697" s="77"/>
    </row>
    <row r="698" customFormat="false" ht="15" hidden="false" customHeight="false" outlineLevel="0" collapsed="false">
      <c r="A698" s="75"/>
      <c r="B698" s="77"/>
      <c r="C698" s="77"/>
      <c r="D698" s="78"/>
      <c r="E698" s="77"/>
      <c r="F698" s="77"/>
    </row>
    <row r="699" customFormat="false" ht="15" hidden="false" customHeight="false" outlineLevel="0" collapsed="false">
      <c r="A699" s="75"/>
      <c r="B699" s="77"/>
      <c r="C699" s="77"/>
      <c r="D699" s="78"/>
      <c r="E699" s="77"/>
      <c r="F699" s="77"/>
    </row>
    <row r="700" customFormat="false" ht="15" hidden="false" customHeight="false" outlineLevel="0" collapsed="false">
      <c r="A700" s="75"/>
      <c r="B700" s="77"/>
      <c r="C700" s="77"/>
      <c r="D700" s="78"/>
      <c r="E700" s="77"/>
      <c r="F700" s="77"/>
    </row>
    <row r="701" customFormat="false" ht="15" hidden="false" customHeight="false" outlineLevel="0" collapsed="false">
      <c r="A701" s="75"/>
      <c r="B701" s="77"/>
      <c r="C701" s="77"/>
      <c r="D701" s="78"/>
      <c r="E701" s="77"/>
      <c r="F701" s="77"/>
    </row>
    <row r="702" customFormat="false" ht="15" hidden="false" customHeight="false" outlineLevel="0" collapsed="false">
      <c r="A702" s="75"/>
      <c r="B702" s="77"/>
      <c r="C702" s="77"/>
      <c r="D702" s="78"/>
      <c r="E702" s="77"/>
      <c r="F702" s="77"/>
    </row>
    <row r="703" customFormat="false" ht="15" hidden="false" customHeight="false" outlineLevel="0" collapsed="false">
      <c r="A703" s="75"/>
      <c r="B703" s="77"/>
      <c r="C703" s="77"/>
      <c r="D703" s="78"/>
      <c r="E703" s="77"/>
      <c r="F703" s="77"/>
    </row>
    <row r="704" customFormat="false" ht="15" hidden="false" customHeight="false" outlineLevel="0" collapsed="false">
      <c r="A704" s="75"/>
      <c r="B704" s="77"/>
      <c r="C704" s="77"/>
      <c r="D704" s="78"/>
      <c r="E704" s="77"/>
      <c r="F704" s="77"/>
    </row>
    <row r="705" customFormat="false" ht="15" hidden="false" customHeight="false" outlineLevel="0" collapsed="false">
      <c r="A705" s="75"/>
      <c r="B705" s="77"/>
      <c r="C705" s="77"/>
      <c r="D705" s="78"/>
      <c r="E705" s="77"/>
      <c r="F705" s="77"/>
    </row>
    <row r="706" customFormat="false" ht="15" hidden="false" customHeight="false" outlineLevel="0" collapsed="false">
      <c r="A706" s="75"/>
      <c r="B706" s="77"/>
      <c r="C706" s="77"/>
      <c r="D706" s="78"/>
      <c r="E706" s="77"/>
      <c r="F706" s="77"/>
    </row>
    <row r="707" customFormat="false" ht="15" hidden="false" customHeight="false" outlineLevel="0" collapsed="false">
      <c r="A707" s="75"/>
      <c r="B707" s="77"/>
      <c r="C707" s="77"/>
      <c r="D707" s="78"/>
      <c r="E707" s="77"/>
      <c r="F707" s="77"/>
    </row>
    <row r="708" customFormat="false" ht="15" hidden="false" customHeight="false" outlineLevel="0" collapsed="false">
      <c r="A708" s="75"/>
      <c r="B708" s="77"/>
      <c r="C708" s="77"/>
      <c r="D708" s="78"/>
      <c r="E708" s="77"/>
      <c r="F708" s="77"/>
    </row>
    <row r="709" customFormat="false" ht="15" hidden="false" customHeight="false" outlineLevel="0" collapsed="false">
      <c r="A709" s="75"/>
      <c r="B709" s="77"/>
      <c r="C709" s="77"/>
      <c r="D709" s="78"/>
      <c r="E709" s="77"/>
      <c r="F709" s="77"/>
    </row>
    <row r="710" customFormat="false" ht="15" hidden="false" customHeight="false" outlineLevel="0" collapsed="false">
      <c r="A710" s="75"/>
      <c r="B710" s="77"/>
      <c r="C710" s="77"/>
      <c r="D710" s="78"/>
      <c r="E710" s="77"/>
      <c r="F710" s="77"/>
    </row>
    <row r="711" customFormat="false" ht="15" hidden="false" customHeight="false" outlineLevel="0" collapsed="false">
      <c r="A711" s="75"/>
      <c r="B711" s="77"/>
      <c r="C711" s="77"/>
      <c r="D711" s="78"/>
      <c r="E711" s="77"/>
      <c r="F711" s="77"/>
    </row>
    <row r="712" customFormat="false" ht="15" hidden="false" customHeight="false" outlineLevel="0" collapsed="false">
      <c r="A712" s="75"/>
      <c r="B712" s="77"/>
      <c r="C712" s="77"/>
      <c r="D712" s="78"/>
      <c r="E712" s="77"/>
      <c r="F712" s="77"/>
    </row>
    <row r="713" customFormat="false" ht="15" hidden="false" customHeight="false" outlineLevel="0" collapsed="false">
      <c r="A713" s="75"/>
      <c r="B713" s="77"/>
      <c r="C713" s="77"/>
      <c r="D713" s="78"/>
      <c r="E713" s="77"/>
      <c r="F713" s="77"/>
    </row>
    <row r="714" customFormat="false" ht="15" hidden="false" customHeight="false" outlineLevel="0" collapsed="false">
      <c r="A714" s="75"/>
      <c r="B714" s="77"/>
      <c r="C714" s="77"/>
      <c r="D714" s="78"/>
      <c r="E714" s="77"/>
      <c r="F714" s="77"/>
    </row>
    <row r="715" customFormat="false" ht="15" hidden="false" customHeight="false" outlineLevel="0" collapsed="false">
      <c r="A715" s="75"/>
      <c r="B715" s="77"/>
      <c r="C715" s="77"/>
      <c r="D715" s="78"/>
      <c r="E715" s="77"/>
      <c r="F715" s="77"/>
    </row>
    <row r="716" customFormat="false" ht="15" hidden="false" customHeight="false" outlineLevel="0" collapsed="false">
      <c r="A716" s="75"/>
      <c r="B716" s="77"/>
      <c r="C716" s="77"/>
      <c r="D716" s="78"/>
      <c r="E716" s="77"/>
      <c r="F716" s="77"/>
    </row>
    <row r="717" customFormat="false" ht="15" hidden="false" customHeight="false" outlineLevel="0" collapsed="false">
      <c r="A717" s="75"/>
      <c r="B717" s="77"/>
      <c r="C717" s="77"/>
      <c r="D717" s="78"/>
      <c r="E717" s="77"/>
      <c r="F717" s="77"/>
    </row>
    <row r="718" customFormat="false" ht="15" hidden="false" customHeight="false" outlineLevel="0" collapsed="false">
      <c r="A718" s="75"/>
      <c r="B718" s="77"/>
      <c r="C718" s="77"/>
      <c r="D718" s="78"/>
      <c r="E718" s="77"/>
      <c r="F718" s="77"/>
    </row>
    <row r="719" customFormat="false" ht="15" hidden="false" customHeight="false" outlineLevel="0" collapsed="false">
      <c r="A719" s="75"/>
      <c r="B719" s="77"/>
      <c r="C719" s="77"/>
      <c r="D719" s="78"/>
      <c r="E719" s="77"/>
      <c r="F719" s="77"/>
    </row>
    <row r="720" customFormat="false" ht="15" hidden="false" customHeight="false" outlineLevel="0" collapsed="false">
      <c r="A720" s="75"/>
      <c r="B720" s="77"/>
      <c r="C720" s="77"/>
      <c r="D720" s="78"/>
      <c r="E720" s="77"/>
      <c r="F720" s="77"/>
    </row>
    <row r="721" customFormat="false" ht="15" hidden="false" customHeight="false" outlineLevel="0" collapsed="false">
      <c r="A721" s="75"/>
      <c r="B721" s="77"/>
      <c r="C721" s="77"/>
      <c r="D721" s="78"/>
      <c r="E721" s="77"/>
      <c r="F721" s="77"/>
    </row>
    <row r="722" customFormat="false" ht="15" hidden="false" customHeight="false" outlineLevel="0" collapsed="false">
      <c r="A722" s="75"/>
      <c r="B722" s="77"/>
      <c r="C722" s="77"/>
      <c r="D722" s="78"/>
      <c r="E722" s="77"/>
      <c r="F722" s="77"/>
    </row>
    <row r="723" customFormat="false" ht="15" hidden="false" customHeight="false" outlineLevel="0" collapsed="false">
      <c r="A723" s="75"/>
      <c r="B723" s="77"/>
      <c r="C723" s="77"/>
      <c r="D723" s="78"/>
      <c r="E723" s="77"/>
      <c r="F723" s="77"/>
    </row>
    <row r="724" customFormat="false" ht="15" hidden="false" customHeight="false" outlineLevel="0" collapsed="false">
      <c r="A724" s="75"/>
      <c r="B724" s="77"/>
      <c r="C724" s="77"/>
      <c r="D724" s="78"/>
      <c r="E724" s="77"/>
      <c r="F724" s="77"/>
    </row>
    <row r="725" customFormat="false" ht="15" hidden="false" customHeight="false" outlineLevel="0" collapsed="false">
      <c r="A725" s="75"/>
      <c r="B725" s="77"/>
      <c r="C725" s="77"/>
      <c r="D725" s="78"/>
      <c r="E725" s="77"/>
      <c r="F725" s="77"/>
    </row>
    <row r="726" customFormat="false" ht="15" hidden="false" customHeight="false" outlineLevel="0" collapsed="false">
      <c r="A726" s="75"/>
      <c r="B726" s="77"/>
      <c r="C726" s="77"/>
      <c r="D726" s="78"/>
      <c r="E726" s="77"/>
      <c r="F726" s="77"/>
    </row>
    <row r="727" customFormat="false" ht="15" hidden="false" customHeight="false" outlineLevel="0" collapsed="false">
      <c r="A727" s="75"/>
      <c r="B727" s="77"/>
      <c r="C727" s="77"/>
      <c r="D727" s="78"/>
      <c r="E727" s="77"/>
      <c r="F727" s="77"/>
    </row>
    <row r="728" customFormat="false" ht="15" hidden="false" customHeight="false" outlineLevel="0" collapsed="false">
      <c r="A728" s="75"/>
      <c r="B728" s="77"/>
      <c r="C728" s="77"/>
      <c r="D728" s="78"/>
      <c r="E728" s="77"/>
      <c r="F728" s="77"/>
    </row>
    <row r="729" customFormat="false" ht="15" hidden="false" customHeight="false" outlineLevel="0" collapsed="false">
      <c r="A729" s="75"/>
      <c r="B729" s="77"/>
      <c r="C729" s="77"/>
      <c r="D729" s="78"/>
      <c r="E729" s="77"/>
      <c r="F729" s="77"/>
    </row>
    <row r="730" customFormat="false" ht="15" hidden="false" customHeight="false" outlineLevel="0" collapsed="false">
      <c r="A730" s="75"/>
      <c r="B730" s="77"/>
      <c r="C730" s="77"/>
      <c r="D730" s="78"/>
      <c r="E730" s="77"/>
      <c r="F730" s="77"/>
    </row>
    <row r="731" customFormat="false" ht="15" hidden="false" customHeight="false" outlineLevel="0" collapsed="false">
      <c r="A731" s="75"/>
      <c r="B731" s="77"/>
      <c r="C731" s="77"/>
      <c r="D731" s="78"/>
      <c r="E731" s="77"/>
      <c r="F731" s="77"/>
    </row>
    <row r="732" customFormat="false" ht="15" hidden="false" customHeight="false" outlineLevel="0" collapsed="false">
      <c r="A732" s="75"/>
      <c r="B732" s="77"/>
      <c r="C732" s="77"/>
      <c r="D732" s="78"/>
      <c r="E732" s="77"/>
      <c r="F732" s="77"/>
    </row>
    <row r="733" customFormat="false" ht="15" hidden="false" customHeight="false" outlineLevel="0" collapsed="false">
      <c r="A733" s="75"/>
      <c r="B733" s="77"/>
      <c r="C733" s="77"/>
      <c r="D733" s="78"/>
      <c r="E733" s="77"/>
      <c r="F733" s="77"/>
    </row>
    <row r="734" customFormat="false" ht="15" hidden="false" customHeight="false" outlineLevel="0" collapsed="false">
      <c r="A734" s="75"/>
      <c r="B734" s="77"/>
      <c r="C734" s="77"/>
      <c r="D734" s="78"/>
      <c r="E734" s="77"/>
      <c r="F734" s="77"/>
    </row>
    <row r="735" customFormat="false" ht="15" hidden="false" customHeight="false" outlineLevel="0" collapsed="false">
      <c r="A735" s="75"/>
      <c r="B735" s="77"/>
      <c r="C735" s="77"/>
      <c r="D735" s="78"/>
      <c r="E735" s="77"/>
      <c r="F735" s="77"/>
    </row>
    <row r="736" customFormat="false" ht="15" hidden="false" customHeight="false" outlineLevel="0" collapsed="false">
      <c r="A736" s="75"/>
      <c r="B736" s="77"/>
      <c r="C736" s="77"/>
      <c r="D736" s="78"/>
      <c r="E736" s="77"/>
      <c r="F736" s="77"/>
    </row>
    <row r="737" customFormat="false" ht="15" hidden="false" customHeight="false" outlineLevel="0" collapsed="false">
      <c r="A737" s="75"/>
      <c r="B737" s="77"/>
      <c r="C737" s="77"/>
      <c r="D737" s="78"/>
      <c r="E737" s="77"/>
      <c r="F737" s="77"/>
    </row>
    <row r="738" customFormat="false" ht="15" hidden="false" customHeight="false" outlineLevel="0" collapsed="false">
      <c r="A738" s="75"/>
      <c r="B738" s="77"/>
      <c r="C738" s="77"/>
      <c r="D738" s="78"/>
      <c r="E738" s="77"/>
      <c r="F738" s="77"/>
    </row>
    <row r="739" customFormat="false" ht="15" hidden="false" customHeight="false" outlineLevel="0" collapsed="false">
      <c r="A739" s="75"/>
      <c r="B739" s="77"/>
      <c r="C739" s="77"/>
      <c r="D739" s="78"/>
      <c r="E739" s="77"/>
      <c r="F739" s="77"/>
    </row>
    <row r="740" customFormat="false" ht="15" hidden="false" customHeight="false" outlineLevel="0" collapsed="false">
      <c r="A740" s="75"/>
      <c r="B740" s="77"/>
      <c r="C740" s="77"/>
      <c r="D740" s="78"/>
      <c r="E740" s="77"/>
      <c r="F740" s="77"/>
    </row>
    <row r="741" customFormat="false" ht="15" hidden="false" customHeight="false" outlineLevel="0" collapsed="false">
      <c r="A741" s="75"/>
      <c r="B741" s="77"/>
      <c r="C741" s="77"/>
      <c r="D741" s="78"/>
      <c r="E741" s="77"/>
      <c r="F741" s="77"/>
    </row>
    <row r="742" customFormat="false" ht="15" hidden="false" customHeight="false" outlineLevel="0" collapsed="false">
      <c r="A742" s="75"/>
      <c r="B742" s="77"/>
      <c r="C742" s="77"/>
      <c r="D742" s="78"/>
      <c r="E742" s="77"/>
      <c r="F742" s="77"/>
    </row>
    <row r="743" customFormat="false" ht="15" hidden="false" customHeight="false" outlineLevel="0" collapsed="false">
      <c r="A743" s="75"/>
      <c r="B743" s="77"/>
      <c r="C743" s="77"/>
      <c r="D743" s="78"/>
      <c r="E743" s="77"/>
      <c r="F743" s="77"/>
    </row>
    <row r="744" customFormat="false" ht="15" hidden="false" customHeight="false" outlineLevel="0" collapsed="false">
      <c r="A744" s="75"/>
      <c r="B744" s="77"/>
      <c r="C744" s="77"/>
      <c r="D744" s="78"/>
      <c r="E744" s="77"/>
      <c r="F744" s="77"/>
    </row>
    <row r="745" customFormat="false" ht="15" hidden="false" customHeight="false" outlineLevel="0" collapsed="false">
      <c r="A745" s="75"/>
      <c r="B745" s="77"/>
      <c r="C745" s="77"/>
      <c r="D745" s="78"/>
      <c r="E745" s="77"/>
      <c r="F745" s="77"/>
    </row>
    <row r="746" customFormat="false" ht="15" hidden="false" customHeight="false" outlineLevel="0" collapsed="false">
      <c r="A746" s="75"/>
      <c r="B746" s="77"/>
      <c r="C746" s="77"/>
      <c r="D746" s="78"/>
      <c r="E746" s="77"/>
      <c r="F746" s="77"/>
    </row>
    <row r="747" customFormat="false" ht="15" hidden="false" customHeight="false" outlineLevel="0" collapsed="false">
      <c r="A747" s="75"/>
      <c r="B747" s="77"/>
      <c r="C747" s="77"/>
      <c r="D747" s="78"/>
      <c r="E747" s="77"/>
      <c r="F747" s="77"/>
    </row>
    <row r="748" customFormat="false" ht="15" hidden="false" customHeight="false" outlineLevel="0" collapsed="false">
      <c r="A748" s="75"/>
      <c r="B748" s="77"/>
      <c r="C748" s="77"/>
      <c r="D748" s="78"/>
      <c r="E748" s="77"/>
      <c r="F748" s="77"/>
    </row>
    <row r="749" customFormat="false" ht="15" hidden="false" customHeight="false" outlineLevel="0" collapsed="false">
      <c r="A749" s="75"/>
      <c r="B749" s="77"/>
      <c r="C749" s="77"/>
      <c r="D749" s="78"/>
      <c r="E749" s="77"/>
      <c r="F749" s="77"/>
    </row>
    <row r="750" customFormat="false" ht="15" hidden="false" customHeight="false" outlineLevel="0" collapsed="false">
      <c r="A750" s="75"/>
      <c r="B750" s="77"/>
      <c r="C750" s="77"/>
      <c r="D750" s="78"/>
      <c r="E750" s="77"/>
      <c r="F750" s="77"/>
    </row>
    <row r="751" customFormat="false" ht="15" hidden="false" customHeight="false" outlineLevel="0" collapsed="false">
      <c r="A751" s="75"/>
      <c r="B751" s="77"/>
      <c r="C751" s="77"/>
      <c r="D751" s="78"/>
      <c r="E751" s="77"/>
      <c r="F751" s="77"/>
    </row>
    <row r="752" customFormat="false" ht="15" hidden="false" customHeight="false" outlineLevel="0" collapsed="false">
      <c r="A752" s="75"/>
      <c r="B752" s="77"/>
      <c r="C752" s="77"/>
      <c r="D752" s="78"/>
      <c r="E752" s="77"/>
      <c r="F752" s="77"/>
    </row>
    <row r="753" customFormat="false" ht="15" hidden="false" customHeight="false" outlineLevel="0" collapsed="false">
      <c r="A753" s="75"/>
      <c r="B753" s="77"/>
      <c r="C753" s="77"/>
      <c r="D753" s="78"/>
      <c r="E753" s="77"/>
      <c r="F753" s="77"/>
    </row>
    <row r="754" customFormat="false" ht="15" hidden="false" customHeight="false" outlineLevel="0" collapsed="false">
      <c r="A754" s="75"/>
      <c r="B754" s="77"/>
      <c r="C754" s="77"/>
      <c r="D754" s="78"/>
      <c r="E754" s="77"/>
      <c r="F754" s="77"/>
    </row>
    <row r="755" customFormat="false" ht="15" hidden="false" customHeight="false" outlineLevel="0" collapsed="false">
      <c r="A755" s="75"/>
      <c r="B755" s="77"/>
      <c r="C755" s="77"/>
      <c r="D755" s="78"/>
      <c r="E755" s="77"/>
      <c r="F755" s="77"/>
    </row>
    <row r="756" customFormat="false" ht="15" hidden="false" customHeight="false" outlineLevel="0" collapsed="false">
      <c r="A756" s="75"/>
      <c r="B756" s="77"/>
      <c r="C756" s="77"/>
      <c r="D756" s="78"/>
      <c r="E756" s="77"/>
      <c r="F756" s="77"/>
    </row>
    <row r="757" customFormat="false" ht="15" hidden="false" customHeight="false" outlineLevel="0" collapsed="false">
      <c r="A757" s="75"/>
      <c r="B757" s="77"/>
      <c r="C757" s="77"/>
      <c r="D757" s="78"/>
      <c r="E757" s="77"/>
      <c r="F757" s="77"/>
    </row>
    <row r="758" customFormat="false" ht="15" hidden="false" customHeight="false" outlineLevel="0" collapsed="false">
      <c r="A758" s="75"/>
      <c r="B758" s="77"/>
      <c r="C758" s="77"/>
      <c r="D758" s="78"/>
      <c r="E758" s="77"/>
      <c r="F758" s="77"/>
    </row>
    <row r="759" customFormat="false" ht="15" hidden="false" customHeight="false" outlineLevel="0" collapsed="false">
      <c r="A759" s="75"/>
      <c r="B759" s="77"/>
      <c r="C759" s="77"/>
      <c r="D759" s="78"/>
      <c r="E759" s="77"/>
      <c r="F759" s="77"/>
    </row>
    <row r="760" customFormat="false" ht="15" hidden="false" customHeight="false" outlineLevel="0" collapsed="false">
      <c r="A760" s="75"/>
      <c r="B760" s="77"/>
      <c r="C760" s="77"/>
      <c r="D760" s="78"/>
      <c r="E760" s="77"/>
      <c r="F760" s="77"/>
    </row>
    <row r="761" customFormat="false" ht="15" hidden="false" customHeight="false" outlineLevel="0" collapsed="false">
      <c r="A761" s="75"/>
      <c r="B761" s="77"/>
      <c r="C761" s="77"/>
      <c r="D761" s="78"/>
      <c r="E761" s="77"/>
      <c r="F761" s="77"/>
    </row>
    <row r="762" customFormat="false" ht="15" hidden="false" customHeight="false" outlineLevel="0" collapsed="false">
      <c r="A762" s="75"/>
      <c r="B762" s="77"/>
      <c r="C762" s="77"/>
      <c r="D762" s="78"/>
      <c r="E762" s="77"/>
      <c r="F762" s="77"/>
    </row>
    <row r="763" customFormat="false" ht="15" hidden="false" customHeight="false" outlineLevel="0" collapsed="false">
      <c r="A763" s="75"/>
      <c r="B763" s="77"/>
      <c r="C763" s="77"/>
      <c r="D763" s="78"/>
      <c r="E763" s="77"/>
      <c r="F763" s="77"/>
    </row>
    <row r="764" customFormat="false" ht="15" hidden="false" customHeight="false" outlineLevel="0" collapsed="false">
      <c r="A764" s="75"/>
      <c r="B764" s="77"/>
      <c r="C764" s="77"/>
      <c r="D764" s="78"/>
      <c r="E764" s="77"/>
      <c r="F764" s="77"/>
    </row>
    <row r="765" customFormat="false" ht="15" hidden="false" customHeight="false" outlineLevel="0" collapsed="false">
      <c r="A765" s="75"/>
      <c r="B765" s="77"/>
      <c r="C765" s="77"/>
      <c r="D765" s="78"/>
      <c r="E765" s="77"/>
      <c r="F765" s="77"/>
    </row>
    <row r="766" customFormat="false" ht="15" hidden="false" customHeight="false" outlineLevel="0" collapsed="false">
      <c r="A766" s="75"/>
      <c r="B766" s="77"/>
      <c r="C766" s="77"/>
      <c r="D766" s="78"/>
      <c r="E766" s="77"/>
      <c r="F766" s="77"/>
    </row>
    <row r="767" customFormat="false" ht="15" hidden="false" customHeight="false" outlineLevel="0" collapsed="false">
      <c r="A767" s="75"/>
      <c r="B767" s="77"/>
      <c r="C767" s="77"/>
      <c r="D767" s="78"/>
      <c r="E767" s="77"/>
      <c r="F767" s="77"/>
    </row>
    <row r="768" customFormat="false" ht="15" hidden="false" customHeight="false" outlineLevel="0" collapsed="false">
      <c r="A768" s="75"/>
      <c r="B768" s="77"/>
      <c r="C768" s="77"/>
      <c r="D768" s="78"/>
      <c r="E768" s="77"/>
      <c r="F768" s="77"/>
    </row>
    <row r="769" customFormat="false" ht="15" hidden="false" customHeight="false" outlineLevel="0" collapsed="false">
      <c r="A769" s="75"/>
      <c r="B769" s="77"/>
      <c r="C769" s="77"/>
      <c r="D769" s="78"/>
      <c r="E769" s="77"/>
      <c r="F769" s="77"/>
    </row>
    <row r="770" customFormat="false" ht="15" hidden="false" customHeight="false" outlineLevel="0" collapsed="false">
      <c r="A770" s="75"/>
      <c r="B770" s="77"/>
      <c r="C770" s="77"/>
      <c r="D770" s="78"/>
      <c r="E770" s="77"/>
      <c r="F770" s="77"/>
    </row>
    <row r="771" customFormat="false" ht="15" hidden="false" customHeight="false" outlineLevel="0" collapsed="false">
      <c r="A771" s="75"/>
      <c r="B771" s="77"/>
      <c r="C771" s="77"/>
      <c r="D771" s="78"/>
      <c r="E771" s="77"/>
      <c r="F771" s="77"/>
    </row>
    <row r="772" customFormat="false" ht="15" hidden="false" customHeight="false" outlineLevel="0" collapsed="false">
      <c r="A772" s="75"/>
      <c r="B772" s="77"/>
      <c r="C772" s="77"/>
      <c r="D772" s="78"/>
      <c r="E772" s="77"/>
      <c r="F772" s="77"/>
    </row>
    <row r="773" customFormat="false" ht="15" hidden="false" customHeight="false" outlineLevel="0" collapsed="false">
      <c r="A773" s="75"/>
      <c r="B773" s="77"/>
      <c r="C773" s="77"/>
      <c r="D773" s="78"/>
      <c r="E773" s="77"/>
      <c r="F773" s="77"/>
    </row>
    <row r="774" customFormat="false" ht="15" hidden="false" customHeight="false" outlineLevel="0" collapsed="false">
      <c r="A774" s="75"/>
      <c r="B774" s="77"/>
      <c r="C774" s="77"/>
      <c r="D774" s="78"/>
      <c r="E774" s="77"/>
      <c r="F774" s="77"/>
    </row>
    <row r="775" customFormat="false" ht="15" hidden="false" customHeight="false" outlineLevel="0" collapsed="false">
      <c r="A775" s="75"/>
      <c r="B775" s="77"/>
      <c r="C775" s="77"/>
      <c r="D775" s="78"/>
      <c r="E775" s="77"/>
      <c r="F775" s="77"/>
    </row>
    <row r="776" customFormat="false" ht="15" hidden="false" customHeight="false" outlineLevel="0" collapsed="false">
      <c r="A776" s="75"/>
      <c r="B776" s="77"/>
      <c r="C776" s="77"/>
      <c r="D776" s="78"/>
      <c r="E776" s="77"/>
      <c r="F776" s="77"/>
    </row>
    <row r="777" customFormat="false" ht="15" hidden="false" customHeight="false" outlineLevel="0" collapsed="false">
      <c r="A777" s="75"/>
      <c r="B777" s="77"/>
      <c r="C777" s="77"/>
      <c r="D777" s="78"/>
      <c r="E777" s="77"/>
      <c r="F777" s="77"/>
    </row>
    <row r="778" customFormat="false" ht="15" hidden="false" customHeight="false" outlineLevel="0" collapsed="false">
      <c r="A778" s="75"/>
      <c r="B778" s="77"/>
      <c r="C778" s="77"/>
      <c r="D778" s="78"/>
      <c r="E778" s="77"/>
      <c r="F778" s="77"/>
    </row>
    <row r="779" customFormat="false" ht="15" hidden="false" customHeight="false" outlineLevel="0" collapsed="false">
      <c r="A779" s="75"/>
      <c r="B779" s="77"/>
      <c r="C779" s="77"/>
      <c r="D779" s="78"/>
      <c r="E779" s="77"/>
      <c r="F779" s="77"/>
    </row>
    <row r="780" customFormat="false" ht="15" hidden="false" customHeight="false" outlineLevel="0" collapsed="false">
      <c r="A780" s="75"/>
      <c r="B780" s="77"/>
      <c r="C780" s="77"/>
      <c r="D780" s="78"/>
      <c r="E780" s="77"/>
      <c r="F780" s="77"/>
    </row>
    <row r="781" customFormat="false" ht="15" hidden="false" customHeight="false" outlineLevel="0" collapsed="false">
      <c r="A781" s="75"/>
      <c r="B781" s="77"/>
      <c r="C781" s="77"/>
      <c r="D781" s="78"/>
      <c r="E781" s="77"/>
      <c r="F781" s="77"/>
    </row>
    <row r="782" customFormat="false" ht="15" hidden="false" customHeight="false" outlineLevel="0" collapsed="false">
      <c r="A782" s="75"/>
      <c r="B782" s="77"/>
      <c r="C782" s="77"/>
      <c r="D782" s="78"/>
      <c r="E782" s="77"/>
      <c r="F782" s="77"/>
    </row>
    <row r="783" customFormat="false" ht="15" hidden="false" customHeight="false" outlineLevel="0" collapsed="false">
      <c r="A783" s="75"/>
      <c r="B783" s="77"/>
      <c r="C783" s="77"/>
      <c r="D783" s="78"/>
      <c r="E783" s="77"/>
      <c r="F783" s="77"/>
    </row>
    <row r="784" customFormat="false" ht="15" hidden="false" customHeight="false" outlineLevel="0" collapsed="false">
      <c r="A784" s="75"/>
      <c r="B784" s="77"/>
      <c r="C784" s="77"/>
      <c r="D784" s="78"/>
      <c r="E784" s="77"/>
      <c r="F784" s="77"/>
    </row>
    <row r="785" customFormat="false" ht="15" hidden="false" customHeight="false" outlineLevel="0" collapsed="false">
      <c r="A785" s="75"/>
      <c r="B785" s="77"/>
      <c r="C785" s="77"/>
      <c r="D785" s="78"/>
      <c r="E785" s="77"/>
      <c r="F785" s="77"/>
    </row>
    <row r="786" customFormat="false" ht="15" hidden="false" customHeight="false" outlineLevel="0" collapsed="false">
      <c r="A786" s="75"/>
      <c r="B786" s="77"/>
      <c r="C786" s="77"/>
      <c r="D786" s="78"/>
      <c r="E786" s="77"/>
      <c r="F786" s="77"/>
    </row>
    <row r="787" customFormat="false" ht="15" hidden="false" customHeight="false" outlineLevel="0" collapsed="false">
      <c r="A787" s="75"/>
      <c r="B787" s="77"/>
      <c r="C787" s="77"/>
      <c r="D787" s="78"/>
      <c r="E787" s="77"/>
      <c r="F787" s="77"/>
    </row>
    <row r="788" customFormat="false" ht="15" hidden="false" customHeight="false" outlineLevel="0" collapsed="false">
      <c r="A788" s="75"/>
      <c r="B788" s="77"/>
      <c r="C788" s="77"/>
      <c r="D788" s="78"/>
      <c r="E788" s="77"/>
      <c r="F788" s="77"/>
    </row>
    <row r="789" customFormat="false" ht="15" hidden="false" customHeight="false" outlineLevel="0" collapsed="false">
      <c r="A789" s="75"/>
      <c r="B789" s="77"/>
      <c r="C789" s="77"/>
      <c r="D789" s="78"/>
      <c r="E789" s="77"/>
      <c r="F789" s="77"/>
    </row>
    <row r="790" customFormat="false" ht="15" hidden="false" customHeight="false" outlineLevel="0" collapsed="false">
      <c r="A790" s="75"/>
      <c r="B790" s="77"/>
      <c r="C790" s="77"/>
      <c r="D790" s="78"/>
      <c r="E790" s="77"/>
      <c r="F790" s="77"/>
    </row>
    <row r="791" customFormat="false" ht="15" hidden="false" customHeight="false" outlineLevel="0" collapsed="false">
      <c r="A791" s="75"/>
      <c r="B791" s="77"/>
      <c r="C791" s="77"/>
      <c r="D791" s="78"/>
      <c r="E791" s="77"/>
      <c r="F791" s="77"/>
    </row>
    <row r="792" customFormat="false" ht="15" hidden="false" customHeight="false" outlineLevel="0" collapsed="false">
      <c r="A792" s="75"/>
      <c r="B792" s="77"/>
      <c r="C792" s="77"/>
      <c r="D792" s="78"/>
      <c r="E792" s="77"/>
      <c r="F792" s="77"/>
    </row>
    <row r="793" customFormat="false" ht="15" hidden="false" customHeight="false" outlineLevel="0" collapsed="false">
      <c r="A793" s="75"/>
      <c r="B793" s="77"/>
      <c r="C793" s="77"/>
      <c r="D793" s="78"/>
      <c r="E793" s="77"/>
      <c r="F793" s="77"/>
    </row>
    <row r="794" customFormat="false" ht="15" hidden="false" customHeight="false" outlineLevel="0" collapsed="false">
      <c r="A794" s="75"/>
      <c r="B794" s="77"/>
      <c r="C794" s="77"/>
      <c r="D794" s="78"/>
      <c r="E794" s="77"/>
      <c r="F794" s="77"/>
    </row>
    <row r="795" customFormat="false" ht="15" hidden="false" customHeight="false" outlineLevel="0" collapsed="false">
      <c r="A795" s="75"/>
      <c r="B795" s="77"/>
      <c r="C795" s="77"/>
      <c r="D795" s="78"/>
      <c r="E795" s="77"/>
      <c r="F795" s="77"/>
    </row>
    <row r="796" customFormat="false" ht="15" hidden="false" customHeight="false" outlineLevel="0" collapsed="false">
      <c r="A796" s="75"/>
      <c r="B796" s="77"/>
      <c r="C796" s="77"/>
      <c r="D796" s="78"/>
      <c r="E796" s="77"/>
      <c r="F796" s="77"/>
    </row>
    <row r="797" customFormat="false" ht="15" hidden="false" customHeight="false" outlineLevel="0" collapsed="false">
      <c r="A797" s="75"/>
      <c r="B797" s="77"/>
      <c r="C797" s="77"/>
      <c r="D797" s="78"/>
      <c r="E797" s="77"/>
      <c r="F797" s="77"/>
    </row>
    <row r="798" customFormat="false" ht="15" hidden="false" customHeight="false" outlineLevel="0" collapsed="false">
      <c r="A798" s="75"/>
      <c r="B798" s="77"/>
      <c r="C798" s="77"/>
      <c r="D798" s="78"/>
      <c r="E798" s="77"/>
      <c r="F798" s="77"/>
    </row>
    <row r="799" customFormat="false" ht="15" hidden="false" customHeight="false" outlineLevel="0" collapsed="false">
      <c r="A799" s="75"/>
      <c r="B799" s="77"/>
      <c r="C799" s="77"/>
      <c r="D799" s="78"/>
      <c r="E799" s="77"/>
      <c r="F799" s="77"/>
    </row>
    <row r="800" customFormat="false" ht="15" hidden="false" customHeight="false" outlineLevel="0" collapsed="false">
      <c r="A800" s="75"/>
      <c r="B800" s="77"/>
      <c r="C800" s="77"/>
      <c r="D800" s="78"/>
      <c r="E800" s="77"/>
      <c r="F800" s="77"/>
    </row>
    <row r="801" customFormat="false" ht="15" hidden="false" customHeight="false" outlineLevel="0" collapsed="false">
      <c r="A801" s="75"/>
      <c r="B801" s="77"/>
      <c r="C801" s="77"/>
      <c r="D801" s="78"/>
      <c r="E801" s="77"/>
      <c r="F801" s="77"/>
    </row>
    <row r="802" customFormat="false" ht="15" hidden="false" customHeight="false" outlineLevel="0" collapsed="false">
      <c r="A802" s="75"/>
      <c r="B802" s="77"/>
      <c r="C802" s="77"/>
      <c r="D802" s="78"/>
      <c r="E802" s="77"/>
      <c r="F802" s="77"/>
    </row>
    <row r="803" customFormat="false" ht="15" hidden="false" customHeight="false" outlineLevel="0" collapsed="false">
      <c r="A803" s="75"/>
      <c r="B803" s="77"/>
      <c r="C803" s="77"/>
      <c r="D803" s="78"/>
      <c r="E803" s="77"/>
      <c r="F803" s="77"/>
    </row>
    <row r="804" customFormat="false" ht="15" hidden="false" customHeight="false" outlineLevel="0" collapsed="false">
      <c r="A804" s="75"/>
      <c r="B804" s="77"/>
      <c r="C804" s="77"/>
      <c r="D804" s="78"/>
      <c r="E804" s="77"/>
      <c r="F804" s="77"/>
    </row>
    <row r="805" customFormat="false" ht="15" hidden="false" customHeight="false" outlineLevel="0" collapsed="false">
      <c r="A805" s="75"/>
      <c r="B805" s="77"/>
      <c r="C805" s="77"/>
      <c r="D805" s="78"/>
      <c r="E805" s="77"/>
      <c r="F805" s="77"/>
    </row>
    <row r="806" customFormat="false" ht="15" hidden="false" customHeight="false" outlineLevel="0" collapsed="false">
      <c r="A806" s="75"/>
      <c r="B806" s="77"/>
      <c r="C806" s="77"/>
      <c r="D806" s="78"/>
      <c r="E806" s="77"/>
      <c r="F806" s="77"/>
    </row>
    <row r="807" customFormat="false" ht="15" hidden="false" customHeight="false" outlineLevel="0" collapsed="false">
      <c r="A807" s="75"/>
      <c r="B807" s="77"/>
      <c r="C807" s="77"/>
      <c r="D807" s="78"/>
      <c r="E807" s="77"/>
      <c r="F807" s="77"/>
    </row>
    <row r="808" customFormat="false" ht="15" hidden="false" customHeight="false" outlineLevel="0" collapsed="false">
      <c r="A808" s="75"/>
      <c r="B808" s="77"/>
      <c r="C808" s="77"/>
      <c r="D808" s="78"/>
      <c r="E808" s="77"/>
      <c r="F808" s="77"/>
    </row>
    <row r="809" customFormat="false" ht="15" hidden="false" customHeight="false" outlineLevel="0" collapsed="false">
      <c r="A809" s="75"/>
      <c r="B809" s="77"/>
      <c r="C809" s="77"/>
      <c r="D809" s="78"/>
      <c r="E809" s="77"/>
      <c r="F809" s="77"/>
    </row>
    <row r="810" customFormat="false" ht="15" hidden="false" customHeight="false" outlineLevel="0" collapsed="false">
      <c r="A810" s="75"/>
      <c r="B810" s="77"/>
      <c r="C810" s="77"/>
      <c r="D810" s="78"/>
      <c r="E810" s="77"/>
      <c r="F810" s="77"/>
    </row>
    <row r="811" customFormat="false" ht="15" hidden="false" customHeight="false" outlineLevel="0" collapsed="false">
      <c r="A811" s="75"/>
      <c r="B811" s="77"/>
      <c r="C811" s="77"/>
      <c r="D811" s="78"/>
      <c r="E811" s="77"/>
      <c r="F811" s="77"/>
    </row>
    <row r="812" customFormat="false" ht="15" hidden="false" customHeight="false" outlineLevel="0" collapsed="false">
      <c r="A812" s="75"/>
      <c r="B812" s="77"/>
      <c r="C812" s="77"/>
      <c r="D812" s="78"/>
      <c r="E812" s="77"/>
      <c r="F812" s="77"/>
    </row>
    <row r="813" customFormat="false" ht="15" hidden="false" customHeight="false" outlineLevel="0" collapsed="false">
      <c r="A813" s="75"/>
      <c r="B813" s="77"/>
      <c r="C813" s="77"/>
      <c r="D813" s="78"/>
      <c r="E813" s="77"/>
      <c r="F813" s="77"/>
    </row>
    <row r="814" customFormat="false" ht="15" hidden="false" customHeight="false" outlineLevel="0" collapsed="false">
      <c r="A814" s="75"/>
      <c r="B814" s="77"/>
      <c r="C814" s="77"/>
      <c r="D814" s="78"/>
      <c r="E814" s="77"/>
      <c r="F814" s="77"/>
    </row>
    <row r="815" customFormat="false" ht="15" hidden="false" customHeight="false" outlineLevel="0" collapsed="false">
      <c r="A815" s="75"/>
      <c r="B815" s="77"/>
      <c r="C815" s="77"/>
      <c r="D815" s="78"/>
      <c r="E815" s="77"/>
      <c r="F815" s="77"/>
    </row>
    <row r="816" customFormat="false" ht="15" hidden="false" customHeight="false" outlineLevel="0" collapsed="false">
      <c r="A816" s="75"/>
      <c r="B816" s="77"/>
      <c r="C816" s="77"/>
      <c r="D816" s="78"/>
      <c r="E816" s="77"/>
      <c r="F816" s="77"/>
    </row>
    <row r="817" customFormat="false" ht="15" hidden="false" customHeight="false" outlineLevel="0" collapsed="false">
      <c r="A817" s="75"/>
      <c r="B817" s="77"/>
      <c r="C817" s="77"/>
      <c r="D817" s="78"/>
      <c r="E817" s="77"/>
      <c r="F817" s="77"/>
    </row>
    <row r="818" customFormat="false" ht="15" hidden="false" customHeight="false" outlineLevel="0" collapsed="false">
      <c r="A818" s="75"/>
      <c r="B818" s="77"/>
      <c r="C818" s="77"/>
      <c r="D818" s="78"/>
      <c r="E818" s="77"/>
      <c r="F818" s="77"/>
    </row>
    <row r="819" customFormat="false" ht="15" hidden="false" customHeight="false" outlineLevel="0" collapsed="false">
      <c r="A819" s="75"/>
      <c r="B819" s="77"/>
      <c r="C819" s="77"/>
      <c r="D819" s="78"/>
      <c r="E819" s="77"/>
      <c r="F819" s="77"/>
    </row>
    <row r="820" customFormat="false" ht="15" hidden="false" customHeight="false" outlineLevel="0" collapsed="false">
      <c r="A820" s="75"/>
      <c r="B820" s="77"/>
      <c r="C820" s="77"/>
      <c r="D820" s="78"/>
      <c r="E820" s="77"/>
      <c r="F820" s="77"/>
    </row>
    <row r="821" customFormat="false" ht="15" hidden="false" customHeight="false" outlineLevel="0" collapsed="false">
      <c r="A821" s="75"/>
      <c r="B821" s="77"/>
      <c r="C821" s="77"/>
      <c r="D821" s="78"/>
      <c r="E821" s="77"/>
      <c r="F821" s="77"/>
    </row>
    <row r="822" customFormat="false" ht="15" hidden="false" customHeight="false" outlineLevel="0" collapsed="false">
      <c r="A822" s="75"/>
      <c r="B822" s="77"/>
      <c r="C822" s="77"/>
      <c r="D822" s="78"/>
      <c r="E822" s="77"/>
      <c r="F822" s="77"/>
    </row>
    <row r="823" customFormat="false" ht="15" hidden="false" customHeight="false" outlineLevel="0" collapsed="false">
      <c r="A823" s="75"/>
      <c r="B823" s="77"/>
      <c r="C823" s="77"/>
      <c r="D823" s="78"/>
      <c r="E823" s="77"/>
      <c r="F823" s="77"/>
    </row>
    <row r="824" customFormat="false" ht="15" hidden="false" customHeight="false" outlineLevel="0" collapsed="false">
      <c r="A824" s="75"/>
      <c r="B824" s="77"/>
      <c r="C824" s="77"/>
      <c r="D824" s="78"/>
      <c r="E824" s="77"/>
      <c r="F824" s="77"/>
    </row>
    <row r="825" customFormat="false" ht="15" hidden="false" customHeight="false" outlineLevel="0" collapsed="false">
      <c r="A825" s="75"/>
      <c r="B825" s="77"/>
      <c r="C825" s="77"/>
      <c r="D825" s="78"/>
      <c r="E825" s="77"/>
      <c r="F825" s="77"/>
    </row>
    <row r="826" customFormat="false" ht="15" hidden="false" customHeight="false" outlineLevel="0" collapsed="false">
      <c r="A826" s="75"/>
      <c r="B826" s="77"/>
      <c r="C826" s="77"/>
      <c r="D826" s="78"/>
      <c r="E826" s="77"/>
      <c r="F826" s="77"/>
    </row>
    <row r="827" customFormat="false" ht="15" hidden="false" customHeight="false" outlineLevel="0" collapsed="false">
      <c r="A827" s="75"/>
      <c r="B827" s="77"/>
      <c r="C827" s="77"/>
      <c r="D827" s="78"/>
      <c r="E827" s="77"/>
      <c r="F827" s="77"/>
    </row>
    <row r="828" customFormat="false" ht="15" hidden="false" customHeight="false" outlineLevel="0" collapsed="false">
      <c r="A828" s="75"/>
      <c r="B828" s="77"/>
      <c r="C828" s="77"/>
      <c r="D828" s="78"/>
      <c r="E828" s="77"/>
      <c r="F828" s="77"/>
    </row>
    <row r="829" customFormat="false" ht="15" hidden="false" customHeight="false" outlineLevel="0" collapsed="false">
      <c r="A829" s="75"/>
      <c r="B829" s="77"/>
      <c r="C829" s="77"/>
      <c r="D829" s="78"/>
      <c r="E829" s="77"/>
      <c r="F829" s="77"/>
    </row>
    <row r="830" customFormat="false" ht="15" hidden="false" customHeight="false" outlineLevel="0" collapsed="false">
      <c r="A830" s="75"/>
      <c r="B830" s="77"/>
      <c r="C830" s="77"/>
      <c r="D830" s="78"/>
      <c r="E830" s="77"/>
      <c r="F830" s="77"/>
    </row>
    <row r="831" customFormat="false" ht="15" hidden="false" customHeight="false" outlineLevel="0" collapsed="false">
      <c r="A831" s="75"/>
      <c r="B831" s="77"/>
      <c r="C831" s="77"/>
      <c r="D831" s="78"/>
      <c r="E831" s="77"/>
      <c r="F831" s="77"/>
    </row>
    <row r="832" customFormat="false" ht="15" hidden="false" customHeight="false" outlineLevel="0" collapsed="false">
      <c r="A832" s="75"/>
      <c r="B832" s="77"/>
      <c r="C832" s="77"/>
      <c r="D832" s="78"/>
      <c r="E832" s="77"/>
      <c r="F832" s="77"/>
    </row>
    <row r="833" customFormat="false" ht="15" hidden="false" customHeight="false" outlineLevel="0" collapsed="false">
      <c r="A833" s="75"/>
      <c r="B833" s="77"/>
      <c r="C833" s="77"/>
      <c r="D833" s="78"/>
      <c r="E833" s="77"/>
      <c r="F833" s="77"/>
    </row>
    <row r="834" customFormat="false" ht="15" hidden="false" customHeight="false" outlineLevel="0" collapsed="false">
      <c r="A834" s="75"/>
      <c r="B834" s="77"/>
      <c r="C834" s="77"/>
      <c r="D834" s="78"/>
      <c r="E834" s="77"/>
      <c r="F834" s="77"/>
    </row>
    <row r="835" customFormat="false" ht="15" hidden="false" customHeight="false" outlineLevel="0" collapsed="false">
      <c r="A835" s="75"/>
      <c r="B835" s="77"/>
      <c r="C835" s="77"/>
      <c r="D835" s="78"/>
      <c r="E835" s="77"/>
      <c r="F835" s="77"/>
    </row>
    <row r="836" customFormat="false" ht="15" hidden="false" customHeight="false" outlineLevel="0" collapsed="false">
      <c r="A836" s="75"/>
      <c r="B836" s="77"/>
      <c r="C836" s="77"/>
      <c r="D836" s="78"/>
      <c r="E836" s="77"/>
      <c r="F836" s="77"/>
    </row>
    <row r="837" customFormat="false" ht="15" hidden="false" customHeight="false" outlineLevel="0" collapsed="false">
      <c r="A837" s="75"/>
      <c r="B837" s="77"/>
      <c r="C837" s="77"/>
      <c r="D837" s="78"/>
      <c r="E837" s="77"/>
      <c r="F837" s="77"/>
    </row>
    <row r="838" customFormat="false" ht="15" hidden="false" customHeight="false" outlineLevel="0" collapsed="false">
      <c r="A838" s="75"/>
      <c r="B838" s="77"/>
      <c r="C838" s="77"/>
      <c r="D838" s="78"/>
      <c r="E838" s="77"/>
      <c r="F838" s="77"/>
    </row>
    <row r="839" customFormat="false" ht="15" hidden="false" customHeight="false" outlineLevel="0" collapsed="false">
      <c r="A839" s="75"/>
      <c r="B839" s="77"/>
      <c r="C839" s="77"/>
      <c r="D839" s="78"/>
      <c r="E839" s="77"/>
      <c r="F839" s="77"/>
    </row>
    <row r="840" customFormat="false" ht="15" hidden="false" customHeight="false" outlineLevel="0" collapsed="false">
      <c r="A840" s="75"/>
      <c r="B840" s="77"/>
      <c r="C840" s="77"/>
      <c r="D840" s="78"/>
      <c r="E840" s="77"/>
      <c r="F840" s="77"/>
    </row>
    <row r="841" customFormat="false" ht="15" hidden="false" customHeight="false" outlineLevel="0" collapsed="false">
      <c r="A841" s="75"/>
      <c r="B841" s="77"/>
      <c r="C841" s="77"/>
      <c r="D841" s="78"/>
      <c r="E841" s="77"/>
      <c r="F841" s="77"/>
    </row>
    <row r="842" customFormat="false" ht="15" hidden="false" customHeight="false" outlineLevel="0" collapsed="false">
      <c r="A842" s="75"/>
      <c r="B842" s="77"/>
      <c r="C842" s="77"/>
      <c r="D842" s="78"/>
      <c r="E842" s="77"/>
      <c r="F842" s="77"/>
    </row>
    <row r="843" customFormat="false" ht="15" hidden="false" customHeight="false" outlineLevel="0" collapsed="false">
      <c r="A843" s="75"/>
      <c r="B843" s="77"/>
      <c r="C843" s="77"/>
      <c r="D843" s="78"/>
      <c r="E843" s="77"/>
      <c r="F843" s="77"/>
    </row>
    <row r="844" customFormat="false" ht="15" hidden="false" customHeight="false" outlineLevel="0" collapsed="false">
      <c r="A844" s="75"/>
      <c r="B844" s="77"/>
      <c r="C844" s="77"/>
      <c r="D844" s="78"/>
      <c r="E844" s="77"/>
      <c r="F844" s="77"/>
    </row>
    <row r="845" customFormat="false" ht="15" hidden="false" customHeight="false" outlineLevel="0" collapsed="false">
      <c r="A845" s="75"/>
      <c r="B845" s="77"/>
      <c r="C845" s="77"/>
      <c r="D845" s="78"/>
      <c r="E845" s="77"/>
      <c r="F845" s="77"/>
    </row>
    <row r="846" customFormat="false" ht="15" hidden="false" customHeight="false" outlineLevel="0" collapsed="false">
      <c r="A846" s="75"/>
      <c r="B846" s="77"/>
      <c r="C846" s="77"/>
      <c r="D846" s="78"/>
      <c r="E846" s="77"/>
      <c r="F846" s="77"/>
    </row>
    <row r="847" customFormat="false" ht="15" hidden="false" customHeight="false" outlineLevel="0" collapsed="false">
      <c r="A847" s="75"/>
      <c r="B847" s="77"/>
      <c r="C847" s="77"/>
      <c r="D847" s="78"/>
      <c r="E847" s="77"/>
      <c r="F847" s="77"/>
    </row>
    <row r="848" customFormat="false" ht="15" hidden="false" customHeight="false" outlineLevel="0" collapsed="false">
      <c r="A848" s="75"/>
      <c r="B848" s="77"/>
      <c r="C848" s="77"/>
      <c r="D848" s="78"/>
      <c r="E848" s="77"/>
      <c r="F848" s="77"/>
    </row>
    <row r="849" customFormat="false" ht="15" hidden="false" customHeight="false" outlineLevel="0" collapsed="false">
      <c r="A849" s="75"/>
      <c r="B849" s="77"/>
      <c r="C849" s="77"/>
      <c r="D849" s="78"/>
      <c r="E849" s="77"/>
      <c r="F849" s="77"/>
    </row>
    <row r="850" customFormat="false" ht="15" hidden="false" customHeight="false" outlineLevel="0" collapsed="false">
      <c r="A850" s="75"/>
      <c r="B850" s="77"/>
      <c r="C850" s="77"/>
      <c r="D850" s="78"/>
      <c r="E850" s="77"/>
      <c r="F850" s="77"/>
    </row>
    <row r="851" customFormat="false" ht="15" hidden="false" customHeight="false" outlineLevel="0" collapsed="false">
      <c r="A851" s="75"/>
      <c r="B851" s="77"/>
      <c r="C851" s="77"/>
      <c r="D851" s="78"/>
      <c r="E851" s="77"/>
      <c r="F851" s="77"/>
    </row>
    <row r="852" customFormat="false" ht="15" hidden="false" customHeight="false" outlineLevel="0" collapsed="false">
      <c r="A852" s="75"/>
      <c r="B852" s="77"/>
      <c r="C852" s="77"/>
      <c r="D852" s="78"/>
      <c r="E852" s="77"/>
      <c r="F852" s="77"/>
    </row>
    <row r="853" customFormat="false" ht="15" hidden="false" customHeight="false" outlineLevel="0" collapsed="false">
      <c r="A853" s="75"/>
      <c r="B853" s="77"/>
      <c r="C853" s="77"/>
      <c r="D853" s="78"/>
      <c r="E853" s="77"/>
      <c r="F853" s="77"/>
    </row>
    <row r="854" customFormat="false" ht="15" hidden="false" customHeight="false" outlineLevel="0" collapsed="false">
      <c r="A854" s="75"/>
      <c r="B854" s="77"/>
      <c r="C854" s="77"/>
      <c r="D854" s="78"/>
      <c r="E854" s="77"/>
      <c r="F854" s="77"/>
    </row>
    <row r="855" customFormat="false" ht="15" hidden="false" customHeight="false" outlineLevel="0" collapsed="false">
      <c r="A855" s="75"/>
      <c r="B855" s="77"/>
      <c r="C855" s="77"/>
      <c r="D855" s="78"/>
      <c r="E855" s="77"/>
      <c r="F855" s="77"/>
    </row>
    <row r="856" customFormat="false" ht="15" hidden="false" customHeight="false" outlineLevel="0" collapsed="false">
      <c r="A856" s="75"/>
      <c r="B856" s="77"/>
      <c r="C856" s="77"/>
      <c r="D856" s="78"/>
      <c r="E856" s="77"/>
      <c r="F856" s="77"/>
    </row>
    <row r="857" customFormat="false" ht="15" hidden="false" customHeight="false" outlineLevel="0" collapsed="false">
      <c r="A857" s="75"/>
      <c r="B857" s="77"/>
      <c r="C857" s="77"/>
      <c r="D857" s="78"/>
      <c r="E857" s="77"/>
      <c r="F857" s="77"/>
    </row>
    <row r="858" customFormat="false" ht="15" hidden="false" customHeight="false" outlineLevel="0" collapsed="false">
      <c r="A858" s="75"/>
      <c r="B858" s="77"/>
      <c r="C858" s="77"/>
      <c r="D858" s="78"/>
      <c r="E858" s="77"/>
      <c r="F858" s="77"/>
    </row>
    <row r="859" customFormat="false" ht="15" hidden="false" customHeight="false" outlineLevel="0" collapsed="false">
      <c r="A859" s="75"/>
      <c r="B859" s="77"/>
      <c r="C859" s="77"/>
      <c r="D859" s="78"/>
      <c r="E859" s="77"/>
      <c r="F859" s="77"/>
    </row>
    <row r="860" customFormat="false" ht="15" hidden="false" customHeight="false" outlineLevel="0" collapsed="false">
      <c r="A860" s="75"/>
      <c r="B860" s="77"/>
      <c r="C860" s="77"/>
      <c r="D860" s="78"/>
      <c r="E860" s="77"/>
      <c r="F860" s="77"/>
    </row>
    <row r="861" customFormat="false" ht="15" hidden="false" customHeight="false" outlineLevel="0" collapsed="false">
      <c r="A861" s="75"/>
      <c r="B861" s="77"/>
      <c r="C861" s="77"/>
      <c r="D861" s="78"/>
      <c r="E861" s="77"/>
      <c r="F861" s="77"/>
    </row>
    <row r="862" customFormat="false" ht="15" hidden="false" customHeight="false" outlineLevel="0" collapsed="false">
      <c r="A862" s="75"/>
      <c r="B862" s="77"/>
      <c r="C862" s="77"/>
      <c r="D862" s="78"/>
      <c r="E862" s="77"/>
      <c r="F862" s="77"/>
    </row>
    <row r="863" customFormat="false" ht="15" hidden="false" customHeight="false" outlineLevel="0" collapsed="false">
      <c r="A863" s="75"/>
      <c r="B863" s="77"/>
      <c r="C863" s="77"/>
      <c r="D863" s="78"/>
      <c r="E863" s="77"/>
      <c r="F863" s="77"/>
    </row>
    <row r="864" customFormat="false" ht="15" hidden="false" customHeight="false" outlineLevel="0" collapsed="false">
      <c r="A864" s="75"/>
      <c r="B864" s="77"/>
      <c r="C864" s="77"/>
      <c r="D864" s="78"/>
      <c r="E864" s="77"/>
      <c r="F864" s="77"/>
    </row>
    <row r="865" customFormat="false" ht="15" hidden="false" customHeight="false" outlineLevel="0" collapsed="false">
      <c r="A865" s="75"/>
      <c r="B865" s="77"/>
      <c r="C865" s="77"/>
      <c r="D865" s="78"/>
      <c r="E865" s="77"/>
      <c r="F865" s="77"/>
    </row>
    <row r="866" customFormat="false" ht="15" hidden="false" customHeight="false" outlineLevel="0" collapsed="false">
      <c r="A866" s="75"/>
      <c r="B866" s="77"/>
      <c r="C866" s="77"/>
      <c r="D866" s="78"/>
      <c r="E866" s="77"/>
      <c r="F866" s="77"/>
    </row>
    <row r="867" customFormat="false" ht="15" hidden="false" customHeight="false" outlineLevel="0" collapsed="false">
      <c r="A867" s="75"/>
      <c r="B867" s="77"/>
      <c r="C867" s="77"/>
      <c r="D867" s="78"/>
      <c r="E867" s="77"/>
      <c r="F867" s="77"/>
    </row>
    <row r="868" customFormat="false" ht="15" hidden="false" customHeight="false" outlineLevel="0" collapsed="false">
      <c r="A868" s="75"/>
      <c r="B868" s="77"/>
      <c r="C868" s="77"/>
      <c r="D868" s="78"/>
      <c r="E868" s="77"/>
      <c r="F868" s="77"/>
    </row>
    <row r="869" customFormat="false" ht="15" hidden="false" customHeight="false" outlineLevel="0" collapsed="false">
      <c r="A869" s="75"/>
      <c r="B869" s="77"/>
      <c r="C869" s="77"/>
      <c r="D869" s="78"/>
      <c r="E869" s="77"/>
      <c r="F869" s="77"/>
    </row>
    <row r="870" customFormat="false" ht="15" hidden="false" customHeight="false" outlineLevel="0" collapsed="false">
      <c r="A870" s="75"/>
      <c r="B870" s="77"/>
      <c r="C870" s="77"/>
      <c r="D870" s="78"/>
      <c r="E870" s="77"/>
      <c r="F870" s="77"/>
    </row>
    <row r="871" customFormat="false" ht="15" hidden="false" customHeight="false" outlineLevel="0" collapsed="false">
      <c r="A871" s="75"/>
      <c r="B871" s="77"/>
      <c r="C871" s="77"/>
      <c r="D871" s="78"/>
      <c r="E871" s="77"/>
      <c r="F871" s="77"/>
    </row>
    <row r="872" customFormat="false" ht="15" hidden="false" customHeight="false" outlineLevel="0" collapsed="false">
      <c r="A872" s="75"/>
      <c r="B872" s="77"/>
      <c r="C872" s="77"/>
      <c r="D872" s="78"/>
      <c r="E872" s="77"/>
      <c r="F872" s="77"/>
    </row>
    <row r="873" customFormat="false" ht="15" hidden="false" customHeight="false" outlineLevel="0" collapsed="false">
      <c r="A873" s="75"/>
      <c r="B873" s="77"/>
      <c r="C873" s="77"/>
      <c r="D873" s="78"/>
      <c r="E873" s="77"/>
      <c r="F873" s="77"/>
    </row>
    <row r="874" customFormat="false" ht="15" hidden="false" customHeight="false" outlineLevel="0" collapsed="false">
      <c r="A874" s="75"/>
      <c r="B874" s="77"/>
      <c r="C874" s="77"/>
      <c r="D874" s="78"/>
      <c r="E874" s="77"/>
      <c r="F874" s="77"/>
    </row>
    <row r="875" customFormat="false" ht="15" hidden="false" customHeight="false" outlineLevel="0" collapsed="false">
      <c r="A875" s="75"/>
      <c r="B875" s="77"/>
      <c r="C875" s="77"/>
      <c r="D875" s="78"/>
      <c r="E875" s="77"/>
      <c r="F875" s="77"/>
    </row>
    <row r="876" customFormat="false" ht="15" hidden="false" customHeight="false" outlineLevel="0" collapsed="false">
      <c r="A876" s="75"/>
      <c r="B876" s="77"/>
      <c r="C876" s="77"/>
      <c r="D876" s="78"/>
      <c r="E876" s="77"/>
      <c r="F876" s="77"/>
    </row>
    <row r="877" customFormat="false" ht="15" hidden="false" customHeight="false" outlineLevel="0" collapsed="false">
      <c r="A877" s="75"/>
      <c r="B877" s="77"/>
      <c r="C877" s="77"/>
      <c r="D877" s="78"/>
      <c r="E877" s="77"/>
      <c r="F877" s="77"/>
    </row>
    <row r="878" customFormat="false" ht="15" hidden="false" customHeight="false" outlineLevel="0" collapsed="false">
      <c r="A878" s="75"/>
      <c r="B878" s="77"/>
      <c r="C878" s="77"/>
      <c r="D878" s="78"/>
      <c r="E878" s="77"/>
      <c r="F878" s="77"/>
    </row>
    <row r="879" customFormat="false" ht="15" hidden="false" customHeight="false" outlineLevel="0" collapsed="false">
      <c r="A879" s="75"/>
      <c r="B879" s="77"/>
      <c r="C879" s="77"/>
      <c r="D879" s="78"/>
      <c r="E879" s="77"/>
      <c r="F879" s="77"/>
    </row>
    <row r="880" customFormat="false" ht="15" hidden="false" customHeight="false" outlineLevel="0" collapsed="false">
      <c r="A880" s="75"/>
      <c r="B880" s="77"/>
      <c r="C880" s="77"/>
      <c r="D880" s="78"/>
      <c r="E880" s="77"/>
      <c r="F880" s="77"/>
    </row>
    <row r="881" customFormat="false" ht="15" hidden="false" customHeight="false" outlineLevel="0" collapsed="false">
      <c r="A881" s="75"/>
      <c r="B881" s="77"/>
      <c r="C881" s="77"/>
      <c r="D881" s="78"/>
      <c r="E881" s="77"/>
      <c r="F881" s="77"/>
    </row>
    <row r="882" customFormat="false" ht="15" hidden="false" customHeight="false" outlineLevel="0" collapsed="false">
      <c r="A882" s="75"/>
      <c r="B882" s="77"/>
      <c r="C882" s="77"/>
      <c r="D882" s="78"/>
      <c r="E882" s="77"/>
      <c r="F882" s="77"/>
    </row>
    <row r="883" customFormat="false" ht="15" hidden="false" customHeight="false" outlineLevel="0" collapsed="false">
      <c r="A883" s="75"/>
      <c r="B883" s="77"/>
      <c r="C883" s="77"/>
      <c r="D883" s="78"/>
      <c r="E883" s="77"/>
      <c r="F883" s="77"/>
    </row>
    <row r="884" customFormat="false" ht="15" hidden="false" customHeight="false" outlineLevel="0" collapsed="false">
      <c r="A884" s="75"/>
      <c r="B884" s="77"/>
      <c r="C884" s="77"/>
      <c r="D884" s="78"/>
      <c r="E884" s="77"/>
      <c r="F884" s="77"/>
    </row>
    <row r="885" customFormat="false" ht="15" hidden="false" customHeight="false" outlineLevel="0" collapsed="false">
      <c r="A885" s="75"/>
      <c r="B885" s="77"/>
      <c r="C885" s="77"/>
      <c r="D885" s="78"/>
      <c r="E885" s="77"/>
      <c r="F885" s="77"/>
    </row>
    <row r="886" customFormat="false" ht="15" hidden="false" customHeight="false" outlineLevel="0" collapsed="false">
      <c r="A886" s="75"/>
      <c r="B886" s="77"/>
      <c r="C886" s="77"/>
      <c r="D886" s="78"/>
      <c r="E886" s="77"/>
      <c r="F886" s="77"/>
    </row>
    <row r="887" customFormat="false" ht="15" hidden="false" customHeight="false" outlineLevel="0" collapsed="false">
      <c r="A887" s="75"/>
      <c r="B887" s="77"/>
      <c r="C887" s="77"/>
      <c r="D887" s="78"/>
      <c r="E887" s="77"/>
      <c r="F887" s="77"/>
    </row>
    <row r="888" customFormat="false" ht="15" hidden="false" customHeight="false" outlineLevel="0" collapsed="false">
      <c r="A888" s="75"/>
      <c r="B888" s="77"/>
      <c r="C888" s="77"/>
      <c r="D888" s="78"/>
      <c r="E888" s="77"/>
      <c r="F888" s="77"/>
    </row>
    <row r="889" customFormat="false" ht="15" hidden="false" customHeight="false" outlineLevel="0" collapsed="false">
      <c r="A889" s="75"/>
      <c r="B889" s="77"/>
      <c r="C889" s="77"/>
      <c r="D889" s="78"/>
      <c r="E889" s="77"/>
      <c r="F889" s="77"/>
    </row>
    <row r="890" customFormat="false" ht="15" hidden="false" customHeight="false" outlineLevel="0" collapsed="false">
      <c r="A890" s="75"/>
      <c r="B890" s="77"/>
      <c r="C890" s="77"/>
      <c r="D890" s="78"/>
      <c r="E890" s="77"/>
      <c r="F890" s="77"/>
    </row>
    <row r="891" customFormat="false" ht="15" hidden="false" customHeight="false" outlineLevel="0" collapsed="false">
      <c r="A891" s="75"/>
      <c r="B891" s="77"/>
      <c r="C891" s="77"/>
      <c r="D891" s="78"/>
      <c r="E891" s="77"/>
      <c r="F891" s="77"/>
    </row>
    <row r="892" customFormat="false" ht="15" hidden="false" customHeight="false" outlineLevel="0" collapsed="false">
      <c r="A892" s="75"/>
      <c r="B892" s="77"/>
      <c r="C892" s="77"/>
      <c r="D892" s="78"/>
      <c r="E892" s="77"/>
      <c r="F892" s="77"/>
    </row>
    <row r="893" customFormat="false" ht="15" hidden="false" customHeight="false" outlineLevel="0" collapsed="false">
      <c r="A893" s="75"/>
      <c r="B893" s="77"/>
      <c r="C893" s="77"/>
      <c r="D893" s="78"/>
      <c r="E893" s="77"/>
      <c r="F893" s="77"/>
    </row>
    <row r="894" customFormat="false" ht="15" hidden="false" customHeight="false" outlineLevel="0" collapsed="false">
      <c r="A894" s="75"/>
      <c r="B894" s="77"/>
      <c r="C894" s="77"/>
      <c r="D894" s="78"/>
      <c r="E894" s="77"/>
      <c r="F894" s="77"/>
    </row>
    <row r="895" customFormat="false" ht="15" hidden="false" customHeight="false" outlineLevel="0" collapsed="false">
      <c r="A895" s="75"/>
      <c r="B895" s="77"/>
      <c r="C895" s="77"/>
      <c r="D895" s="78"/>
      <c r="E895" s="77"/>
      <c r="F895" s="77"/>
    </row>
    <row r="896" customFormat="false" ht="15" hidden="false" customHeight="false" outlineLevel="0" collapsed="false">
      <c r="A896" s="75"/>
      <c r="B896" s="77"/>
      <c r="C896" s="77"/>
      <c r="D896" s="78"/>
      <c r="E896" s="77"/>
      <c r="F896" s="77"/>
    </row>
    <row r="897" customFormat="false" ht="15" hidden="false" customHeight="false" outlineLevel="0" collapsed="false">
      <c r="A897" s="75"/>
      <c r="B897" s="77"/>
      <c r="C897" s="77"/>
      <c r="D897" s="78"/>
      <c r="E897" s="77"/>
      <c r="F897" s="77"/>
    </row>
    <row r="898" customFormat="false" ht="15" hidden="false" customHeight="false" outlineLevel="0" collapsed="false">
      <c r="A898" s="75"/>
      <c r="B898" s="77"/>
      <c r="C898" s="77"/>
      <c r="D898" s="78"/>
      <c r="E898" s="77"/>
      <c r="F898" s="77"/>
    </row>
    <row r="899" customFormat="false" ht="15" hidden="false" customHeight="false" outlineLevel="0" collapsed="false">
      <c r="A899" s="75"/>
      <c r="B899" s="77"/>
      <c r="C899" s="77"/>
      <c r="D899" s="78"/>
      <c r="E899" s="77"/>
      <c r="F899" s="77"/>
    </row>
    <row r="900" customFormat="false" ht="15" hidden="false" customHeight="false" outlineLevel="0" collapsed="false">
      <c r="A900" s="75"/>
      <c r="B900" s="77"/>
      <c r="C900" s="77"/>
      <c r="D900" s="78"/>
      <c r="E900" s="77"/>
      <c r="F900" s="77"/>
    </row>
    <row r="901" customFormat="false" ht="15" hidden="false" customHeight="false" outlineLevel="0" collapsed="false">
      <c r="A901" s="75"/>
      <c r="B901" s="77"/>
      <c r="C901" s="77"/>
      <c r="D901" s="78"/>
      <c r="E901" s="77"/>
      <c r="F901" s="77"/>
    </row>
    <row r="902" customFormat="false" ht="15" hidden="false" customHeight="false" outlineLevel="0" collapsed="false">
      <c r="A902" s="75"/>
      <c r="B902" s="77"/>
      <c r="C902" s="77"/>
      <c r="D902" s="78"/>
      <c r="E902" s="77"/>
      <c r="F902" s="77"/>
    </row>
    <row r="903" customFormat="false" ht="15" hidden="false" customHeight="false" outlineLevel="0" collapsed="false">
      <c r="A903" s="75"/>
      <c r="B903" s="77"/>
      <c r="C903" s="77"/>
      <c r="D903" s="78"/>
      <c r="E903" s="77"/>
      <c r="F903" s="77"/>
    </row>
    <row r="904" customFormat="false" ht="15" hidden="false" customHeight="false" outlineLevel="0" collapsed="false">
      <c r="A904" s="75"/>
      <c r="B904" s="77"/>
      <c r="C904" s="77"/>
      <c r="D904" s="78"/>
      <c r="E904" s="77"/>
      <c r="F904" s="77"/>
    </row>
    <row r="905" customFormat="false" ht="15" hidden="false" customHeight="false" outlineLevel="0" collapsed="false">
      <c r="A905" s="75"/>
      <c r="B905" s="77"/>
      <c r="C905" s="77"/>
      <c r="D905" s="78"/>
      <c r="E905" s="77"/>
      <c r="F905" s="77"/>
    </row>
    <row r="906" customFormat="false" ht="15" hidden="false" customHeight="false" outlineLevel="0" collapsed="false">
      <c r="A906" s="75"/>
      <c r="B906" s="77"/>
      <c r="C906" s="77"/>
      <c r="D906" s="78"/>
      <c r="E906" s="77"/>
      <c r="F906" s="77"/>
    </row>
    <row r="907" customFormat="false" ht="15" hidden="false" customHeight="false" outlineLevel="0" collapsed="false">
      <c r="A907" s="75"/>
      <c r="B907" s="77"/>
      <c r="C907" s="77"/>
      <c r="D907" s="78"/>
      <c r="E907" s="77"/>
      <c r="F907" s="77"/>
    </row>
    <row r="908" customFormat="false" ht="15" hidden="false" customHeight="false" outlineLevel="0" collapsed="false">
      <c r="A908" s="75"/>
      <c r="B908" s="77"/>
      <c r="C908" s="77"/>
      <c r="D908" s="78"/>
      <c r="E908" s="77"/>
      <c r="F908" s="77"/>
    </row>
    <row r="909" customFormat="false" ht="15" hidden="false" customHeight="false" outlineLevel="0" collapsed="false">
      <c r="A909" s="75"/>
      <c r="B909" s="77"/>
      <c r="C909" s="77"/>
      <c r="D909" s="78"/>
      <c r="E909" s="77"/>
      <c r="F909" s="77"/>
    </row>
    <row r="910" customFormat="false" ht="15" hidden="false" customHeight="false" outlineLevel="0" collapsed="false">
      <c r="A910" s="75"/>
      <c r="B910" s="77"/>
      <c r="C910" s="77"/>
      <c r="D910" s="78"/>
      <c r="E910" s="77"/>
      <c r="F910" s="77"/>
    </row>
    <row r="911" customFormat="false" ht="15" hidden="false" customHeight="false" outlineLevel="0" collapsed="false">
      <c r="A911" s="75"/>
      <c r="B911" s="77"/>
      <c r="C911" s="77"/>
      <c r="D911" s="78"/>
      <c r="E911" s="77"/>
      <c r="F911" s="77"/>
    </row>
    <row r="912" customFormat="false" ht="15" hidden="false" customHeight="false" outlineLevel="0" collapsed="false">
      <c r="A912" s="75"/>
      <c r="B912" s="77"/>
      <c r="C912" s="77"/>
      <c r="D912" s="78"/>
      <c r="E912" s="77"/>
      <c r="F912" s="77"/>
    </row>
    <row r="913" customFormat="false" ht="15" hidden="false" customHeight="false" outlineLevel="0" collapsed="false">
      <c r="A913" s="75"/>
      <c r="B913" s="77"/>
      <c r="C913" s="77"/>
      <c r="D913" s="78"/>
      <c r="E913" s="77"/>
      <c r="F913" s="77"/>
    </row>
    <row r="914" customFormat="false" ht="15" hidden="false" customHeight="false" outlineLevel="0" collapsed="false">
      <c r="A914" s="75"/>
      <c r="B914" s="77"/>
      <c r="C914" s="77"/>
      <c r="D914" s="78"/>
      <c r="E914" s="77"/>
      <c r="F914" s="77"/>
    </row>
    <row r="915" customFormat="false" ht="15" hidden="false" customHeight="false" outlineLevel="0" collapsed="false">
      <c r="A915" s="75"/>
      <c r="B915" s="77"/>
      <c r="C915" s="77"/>
      <c r="D915" s="78"/>
      <c r="E915" s="77"/>
      <c r="F915" s="77"/>
    </row>
    <row r="916" customFormat="false" ht="15" hidden="false" customHeight="false" outlineLevel="0" collapsed="false">
      <c r="A916" s="75"/>
      <c r="B916" s="77"/>
      <c r="C916" s="77"/>
      <c r="D916" s="78"/>
      <c r="E916" s="77"/>
      <c r="F916" s="77"/>
    </row>
    <row r="917" customFormat="false" ht="15" hidden="false" customHeight="false" outlineLevel="0" collapsed="false">
      <c r="A917" s="75"/>
      <c r="B917" s="77"/>
      <c r="C917" s="77"/>
      <c r="D917" s="78"/>
      <c r="E917" s="77"/>
      <c r="F917" s="77"/>
    </row>
    <row r="918" customFormat="false" ht="15" hidden="false" customHeight="false" outlineLevel="0" collapsed="false">
      <c r="A918" s="75"/>
      <c r="B918" s="77"/>
      <c r="C918" s="77"/>
      <c r="D918" s="78"/>
      <c r="E918" s="77"/>
      <c r="F918" s="77"/>
    </row>
    <row r="919" customFormat="false" ht="15" hidden="false" customHeight="false" outlineLevel="0" collapsed="false">
      <c r="A919" s="75"/>
      <c r="B919" s="77"/>
      <c r="C919" s="77"/>
      <c r="D919" s="78"/>
      <c r="E919" s="77"/>
      <c r="F919" s="77"/>
    </row>
    <row r="920" customFormat="false" ht="15" hidden="false" customHeight="false" outlineLevel="0" collapsed="false">
      <c r="A920" s="75"/>
      <c r="B920" s="77"/>
      <c r="C920" s="77"/>
      <c r="D920" s="78"/>
      <c r="E920" s="77"/>
      <c r="F920" s="77"/>
    </row>
    <row r="921" customFormat="false" ht="15" hidden="false" customHeight="false" outlineLevel="0" collapsed="false">
      <c r="A921" s="75"/>
      <c r="B921" s="77"/>
      <c r="C921" s="77"/>
      <c r="D921" s="78"/>
      <c r="E921" s="77"/>
      <c r="F921" s="77"/>
    </row>
    <row r="922" customFormat="false" ht="15" hidden="false" customHeight="false" outlineLevel="0" collapsed="false">
      <c r="A922" s="75"/>
      <c r="B922" s="77"/>
      <c r="C922" s="77"/>
      <c r="D922" s="78"/>
      <c r="E922" s="77"/>
      <c r="F922" s="77"/>
    </row>
    <row r="923" customFormat="false" ht="15" hidden="false" customHeight="false" outlineLevel="0" collapsed="false">
      <c r="A923" s="75"/>
      <c r="B923" s="77"/>
      <c r="C923" s="77"/>
      <c r="D923" s="78"/>
      <c r="E923" s="77"/>
      <c r="F923" s="77"/>
    </row>
    <row r="924" customFormat="false" ht="15" hidden="false" customHeight="false" outlineLevel="0" collapsed="false">
      <c r="A924" s="75"/>
      <c r="B924" s="77"/>
      <c r="C924" s="77"/>
      <c r="D924" s="78"/>
      <c r="E924" s="77"/>
      <c r="F924" s="77"/>
    </row>
    <row r="925" customFormat="false" ht="15" hidden="false" customHeight="false" outlineLevel="0" collapsed="false">
      <c r="A925" s="75"/>
      <c r="B925" s="77"/>
      <c r="C925" s="77"/>
      <c r="D925" s="78"/>
      <c r="E925" s="77"/>
      <c r="F925" s="77"/>
    </row>
    <row r="926" customFormat="false" ht="15" hidden="false" customHeight="false" outlineLevel="0" collapsed="false">
      <c r="A926" s="75"/>
      <c r="B926" s="77"/>
      <c r="C926" s="77"/>
      <c r="D926" s="78"/>
      <c r="E926" s="77"/>
      <c r="F926" s="77"/>
    </row>
    <row r="927" customFormat="false" ht="15" hidden="false" customHeight="false" outlineLevel="0" collapsed="false">
      <c r="A927" s="75"/>
      <c r="B927" s="77"/>
      <c r="C927" s="77"/>
      <c r="D927" s="78"/>
      <c r="E927" s="77"/>
      <c r="F927" s="77"/>
    </row>
    <row r="928" customFormat="false" ht="15" hidden="false" customHeight="false" outlineLevel="0" collapsed="false">
      <c r="A928" s="75"/>
      <c r="B928" s="77"/>
      <c r="C928" s="77"/>
      <c r="D928" s="78"/>
      <c r="E928" s="77"/>
      <c r="F928" s="77"/>
    </row>
    <row r="929" customFormat="false" ht="15" hidden="false" customHeight="false" outlineLevel="0" collapsed="false">
      <c r="A929" s="75"/>
      <c r="B929" s="77"/>
      <c r="C929" s="77"/>
      <c r="D929" s="78"/>
      <c r="E929" s="77"/>
      <c r="F929" s="77"/>
    </row>
    <row r="930" customFormat="false" ht="15" hidden="false" customHeight="false" outlineLevel="0" collapsed="false">
      <c r="A930" s="75"/>
      <c r="B930" s="77"/>
      <c r="C930" s="77"/>
      <c r="D930" s="78"/>
      <c r="E930" s="77"/>
      <c r="F930" s="77"/>
    </row>
    <row r="931" customFormat="false" ht="15" hidden="false" customHeight="false" outlineLevel="0" collapsed="false">
      <c r="A931" s="75"/>
      <c r="B931" s="77"/>
      <c r="C931" s="77"/>
      <c r="D931" s="78"/>
      <c r="E931" s="77"/>
      <c r="F931" s="77"/>
    </row>
    <row r="932" customFormat="false" ht="15" hidden="false" customHeight="false" outlineLevel="0" collapsed="false">
      <c r="A932" s="75"/>
      <c r="B932" s="77"/>
      <c r="C932" s="77"/>
      <c r="D932" s="78"/>
      <c r="E932" s="77"/>
      <c r="F932" s="77"/>
    </row>
    <row r="933" customFormat="false" ht="15" hidden="false" customHeight="false" outlineLevel="0" collapsed="false">
      <c r="A933" s="75"/>
      <c r="B933" s="77"/>
      <c r="C933" s="77"/>
      <c r="D933" s="78"/>
      <c r="E933" s="77"/>
      <c r="F933" s="77"/>
    </row>
    <row r="934" customFormat="false" ht="15" hidden="false" customHeight="false" outlineLevel="0" collapsed="false">
      <c r="A934" s="75"/>
      <c r="B934" s="77"/>
      <c r="C934" s="77"/>
      <c r="D934" s="78"/>
      <c r="E934" s="77"/>
      <c r="F934" s="77"/>
    </row>
    <row r="935" customFormat="false" ht="15" hidden="false" customHeight="false" outlineLevel="0" collapsed="false">
      <c r="A935" s="75"/>
      <c r="B935" s="77"/>
      <c r="C935" s="77"/>
      <c r="D935" s="78"/>
      <c r="E935" s="77"/>
      <c r="F935" s="77"/>
    </row>
    <row r="936" customFormat="false" ht="15" hidden="false" customHeight="false" outlineLevel="0" collapsed="false">
      <c r="A936" s="75"/>
      <c r="B936" s="77"/>
      <c r="C936" s="77"/>
      <c r="D936" s="78"/>
      <c r="E936" s="77"/>
      <c r="F936" s="77"/>
    </row>
    <row r="937" customFormat="false" ht="15" hidden="false" customHeight="false" outlineLevel="0" collapsed="false">
      <c r="A937" s="75"/>
      <c r="B937" s="77"/>
      <c r="C937" s="77"/>
      <c r="D937" s="78"/>
      <c r="E937" s="77"/>
      <c r="F937" s="77"/>
    </row>
    <row r="938" customFormat="false" ht="15" hidden="false" customHeight="false" outlineLevel="0" collapsed="false">
      <c r="A938" s="75"/>
      <c r="B938" s="77"/>
      <c r="C938" s="77"/>
      <c r="D938" s="78"/>
      <c r="E938" s="77"/>
      <c r="F938" s="77"/>
    </row>
    <row r="939" customFormat="false" ht="15" hidden="false" customHeight="false" outlineLevel="0" collapsed="false">
      <c r="A939" s="75"/>
      <c r="B939" s="77"/>
      <c r="C939" s="77"/>
      <c r="D939" s="78"/>
      <c r="E939" s="77"/>
      <c r="F939" s="77"/>
    </row>
    <row r="940" customFormat="false" ht="15" hidden="false" customHeight="false" outlineLevel="0" collapsed="false">
      <c r="A940" s="75"/>
      <c r="B940" s="77"/>
      <c r="C940" s="77"/>
      <c r="D940" s="78"/>
      <c r="E940" s="77"/>
      <c r="F940" s="77"/>
    </row>
    <row r="941" customFormat="false" ht="15" hidden="false" customHeight="false" outlineLevel="0" collapsed="false">
      <c r="A941" s="75"/>
      <c r="B941" s="77"/>
      <c r="C941" s="77"/>
      <c r="D941" s="78"/>
      <c r="E941" s="77"/>
      <c r="F941" s="77"/>
    </row>
    <row r="942" customFormat="false" ht="15" hidden="false" customHeight="false" outlineLevel="0" collapsed="false">
      <c r="A942" s="75"/>
      <c r="B942" s="77"/>
      <c r="C942" s="77"/>
      <c r="D942" s="78"/>
      <c r="E942" s="77"/>
      <c r="F942" s="77"/>
    </row>
    <row r="943" customFormat="false" ht="15" hidden="false" customHeight="false" outlineLevel="0" collapsed="false">
      <c r="A943" s="75"/>
      <c r="B943" s="77"/>
      <c r="C943" s="77"/>
      <c r="D943" s="78"/>
      <c r="E943" s="77"/>
      <c r="F943" s="77"/>
    </row>
    <row r="944" customFormat="false" ht="15" hidden="false" customHeight="false" outlineLevel="0" collapsed="false">
      <c r="A944" s="75"/>
      <c r="B944" s="77"/>
      <c r="C944" s="77"/>
      <c r="D944" s="78"/>
      <c r="E944" s="77"/>
      <c r="F944" s="77"/>
    </row>
    <row r="945" customFormat="false" ht="15" hidden="false" customHeight="false" outlineLevel="0" collapsed="false">
      <c r="A945" s="75"/>
      <c r="B945" s="77"/>
      <c r="C945" s="77"/>
      <c r="D945" s="78"/>
      <c r="E945" s="77"/>
      <c r="F945" s="77"/>
    </row>
    <row r="946" customFormat="false" ht="15" hidden="false" customHeight="false" outlineLevel="0" collapsed="false">
      <c r="A946" s="75"/>
      <c r="B946" s="77"/>
      <c r="C946" s="77"/>
      <c r="D946" s="78"/>
      <c r="E946" s="77"/>
      <c r="F946" s="77"/>
    </row>
    <row r="947" customFormat="false" ht="15" hidden="false" customHeight="false" outlineLevel="0" collapsed="false">
      <c r="A947" s="75"/>
      <c r="B947" s="77"/>
      <c r="C947" s="77"/>
      <c r="D947" s="78"/>
      <c r="E947" s="77"/>
      <c r="F947" s="77"/>
    </row>
    <row r="948" customFormat="false" ht="15" hidden="false" customHeight="false" outlineLevel="0" collapsed="false">
      <c r="A948" s="75"/>
      <c r="B948" s="77"/>
      <c r="C948" s="77"/>
      <c r="D948" s="78"/>
      <c r="E948" s="77"/>
      <c r="F948" s="77"/>
    </row>
    <row r="949" customFormat="false" ht="15" hidden="false" customHeight="false" outlineLevel="0" collapsed="false">
      <c r="A949" s="75"/>
      <c r="B949" s="77"/>
      <c r="C949" s="77"/>
      <c r="D949" s="78"/>
      <c r="E949" s="77"/>
      <c r="F949" s="77"/>
    </row>
    <row r="950" customFormat="false" ht="15" hidden="false" customHeight="false" outlineLevel="0" collapsed="false">
      <c r="A950" s="75"/>
      <c r="B950" s="77"/>
      <c r="C950" s="77"/>
      <c r="D950" s="78"/>
      <c r="E950" s="77"/>
      <c r="F950" s="77"/>
    </row>
    <row r="951" customFormat="false" ht="15" hidden="false" customHeight="false" outlineLevel="0" collapsed="false">
      <c r="A951" s="75"/>
      <c r="B951" s="77"/>
      <c r="C951" s="77"/>
      <c r="D951" s="78"/>
      <c r="E951" s="77"/>
      <c r="F951" s="77"/>
    </row>
    <row r="952" customFormat="false" ht="15" hidden="false" customHeight="false" outlineLevel="0" collapsed="false">
      <c r="A952" s="75"/>
      <c r="B952" s="77"/>
      <c r="C952" s="77"/>
      <c r="D952" s="78"/>
      <c r="E952" s="77"/>
      <c r="F952" s="77"/>
    </row>
    <row r="953" customFormat="false" ht="15" hidden="false" customHeight="false" outlineLevel="0" collapsed="false">
      <c r="A953" s="75"/>
      <c r="B953" s="77"/>
      <c r="C953" s="77"/>
      <c r="D953" s="78"/>
      <c r="E953" s="77"/>
      <c r="F953" s="77"/>
    </row>
    <row r="954" customFormat="false" ht="15" hidden="false" customHeight="false" outlineLevel="0" collapsed="false">
      <c r="A954" s="75"/>
      <c r="B954" s="77"/>
      <c r="C954" s="77"/>
      <c r="D954" s="78"/>
      <c r="E954" s="77"/>
      <c r="F954" s="77"/>
    </row>
    <row r="955" customFormat="false" ht="15" hidden="false" customHeight="false" outlineLevel="0" collapsed="false">
      <c r="A955" s="75"/>
      <c r="B955" s="77"/>
      <c r="C955" s="77"/>
      <c r="D955" s="78"/>
      <c r="E955" s="77"/>
      <c r="F955" s="77"/>
    </row>
    <row r="956" customFormat="false" ht="15" hidden="false" customHeight="false" outlineLevel="0" collapsed="false">
      <c r="A956" s="75"/>
      <c r="B956" s="77"/>
      <c r="C956" s="77"/>
      <c r="D956" s="78"/>
      <c r="E956" s="77"/>
      <c r="F956" s="77"/>
    </row>
    <row r="957" customFormat="false" ht="15" hidden="false" customHeight="false" outlineLevel="0" collapsed="false">
      <c r="A957" s="75"/>
      <c r="B957" s="77"/>
      <c r="C957" s="77"/>
      <c r="D957" s="78"/>
      <c r="E957" s="77"/>
      <c r="F957" s="77"/>
    </row>
    <row r="958" customFormat="false" ht="15" hidden="false" customHeight="false" outlineLevel="0" collapsed="false">
      <c r="A958" s="75"/>
      <c r="B958" s="77"/>
      <c r="C958" s="77"/>
      <c r="D958" s="78"/>
      <c r="E958" s="77"/>
      <c r="F958" s="77"/>
    </row>
    <row r="959" customFormat="false" ht="15" hidden="false" customHeight="false" outlineLevel="0" collapsed="false">
      <c r="A959" s="75"/>
      <c r="B959" s="77"/>
      <c r="C959" s="77"/>
      <c r="D959" s="78"/>
      <c r="E959" s="77"/>
      <c r="F959" s="77"/>
    </row>
    <row r="960" customFormat="false" ht="15" hidden="false" customHeight="false" outlineLevel="0" collapsed="false">
      <c r="A960" s="75"/>
      <c r="B960" s="77"/>
      <c r="C960" s="77"/>
      <c r="D960" s="78"/>
      <c r="E960" s="77"/>
      <c r="F960" s="77"/>
    </row>
    <row r="961" customFormat="false" ht="15" hidden="false" customHeight="false" outlineLevel="0" collapsed="false">
      <c r="A961" s="75"/>
      <c r="B961" s="77"/>
      <c r="C961" s="77"/>
      <c r="D961" s="78"/>
      <c r="E961" s="77"/>
      <c r="F961" s="77"/>
    </row>
    <row r="962" customFormat="false" ht="15" hidden="false" customHeight="false" outlineLevel="0" collapsed="false">
      <c r="A962" s="75"/>
      <c r="B962" s="77"/>
      <c r="C962" s="77"/>
      <c r="D962" s="78"/>
      <c r="E962" s="77"/>
      <c r="F962" s="77"/>
    </row>
    <row r="963" customFormat="false" ht="15" hidden="false" customHeight="false" outlineLevel="0" collapsed="false">
      <c r="A963" s="75"/>
      <c r="B963" s="77"/>
      <c r="C963" s="77"/>
      <c r="D963" s="78"/>
      <c r="E963" s="77"/>
      <c r="F963" s="77"/>
    </row>
    <row r="964" customFormat="false" ht="15" hidden="false" customHeight="false" outlineLevel="0" collapsed="false">
      <c r="A964" s="75"/>
      <c r="B964" s="77"/>
      <c r="C964" s="77"/>
      <c r="D964" s="78"/>
      <c r="E964" s="77"/>
      <c r="F964" s="77"/>
    </row>
    <row r="965" customFormat="false" ht="15" hidden="false" customHeight="false" outlineLevel="0" collapsed="false">
      <c r="A965" s="75"/>
      <c r="B965" s="77"/>
      <c r="C965" s="77"/>
      <c r="D965" s="78"/>
      <c r="E965" s="77"/>
      <c r="F965" s="77"/>
    </row>
    <row r="966" customFormat="false" ht="15" hidden="false" customHeight="false" outlineLevel="0" collapsed="false">
      <c r="A966" s="75"/>
      <c r="B966" s="77"/>
      <c r="C966" s="77"/>
      <c r="D966" s="78"/>
      <c r="E966" s="77"/>
      <c r="F966" s="77"/>
    </row>
    <row r="967" customFormat="false" ht="15" hidden="false" customHeight="false" outlineLevel="0" collapsed="false">
      <c r="A967" s="75"/>
      <c r="B967" s="77"/>
      <c r="C967" s="77"/>
      <c r="D967" s="78"/>
      <c r="E967" s="77"/>
      <c r="F967" s="77"/>
    </row>
    <row r="968" customFormat="false" ht="15" hidden="false" customHeight="false" outlineLevel="0" collapsed="false">
      <c r="A968" s="75"/>
      <c r="B968" s="77"/>
      <c r="C968" s="77"/>
      <c r="D968" s="78"/>
      <c r="E968" s="77"/>
      <c r="F968" s="77"/>
    </row>
    <row r="969" customFormat="false" ht="15" hidden="false" customHeight="false" outlineLevel="0" collapsed="false">
      <c r="A969" s="75"/>
      <c r="B969" s="77"/>
      <c r="C969" s="77"/>
      <c r="D969" s="78"/>
      <c r="E969" s="77"/>
      <c r="F969" s="77"/>
    </row>
    <row r="970" customFormat="false" ht="15" hidden="false" customHeight="false" outlineLevel="0" collapsed="false">
      <c r="A970" s="75"/>
      <c r="B970" s="77"/>
      <c r="C970" s="77"/>
      <c r="D970" s="78"/>
      <c r="E970" s="77"/>
      <c r="F970" s="77"/>
    </row>
    <row r="971" customFormat="false" ht="15" hidden="false" customHeight="false" outlineLevel="0" collapsed="false">
      <c r="A971" s="75"/>
      <c r="B971" s="77"/>
      <c r="C971" s="77"/>
      <c r="D971" s="78"/>
      <c r="E971" s="77"/>
      <c r="F971" s="77"/>
    </row>
    <row r="972" customFormat="false" ht="15" hidden="false" customHeight="false" outlineLevel="0" collapsed="false">
      <c r="A972" s="75"/>
      <c r="B972" s="77"/>
      <c r="C972" s="77"/>
      <c r="D972" s="78"/>
      <c r="E972" s="77"/>
      <c r="F972" s="77"/>
    </row>
    <row r="973" customFormat="false" ht="15" hidden="false" customHeight="false" outlineLevel="0" collapsed="false">
      <c r="A973" s="75"/>
      <c r="B973" s="77"/>
      <c r="C973" s="77"/>
      <c r="D973" s="78"/>
      <c r="E973" s="77"/>
      <c r="F973" s="77"/>
    </row>
    <row r="974" customFormat="false" ht="15" hidden="false" customHeight="false" outlineLevel="0" collapsed="false">
      <c r="A974" s="75"/>
      <c r="B974" s="77"/>
      <c r="C974" s="77"/>
      <c r="D974" s="78"/>
      <c r="E974" s="77"/>
      <c r="F974" s="77"/>
    </row>
    <row r="975" customFormat="false" ht="15" hidden="false" customHeight="false" outlineLevel="0" collapsed="false">
      <c r="A975" s="75"/>
      <c r="B975" s="77"/>
      <c r="C975" s="77"/>
      <c r="D975" s="78"/>
      <c r="E975" s="77"/>
      <c r="F975" s="77"/>
    </row>
    <row r="976" customFormat="false" ht="15" hidden="false" customHeight="false" outlineLevel="0" collapsed="false">
      <c r="A976" s="75"/>
      <c r="B976" s="77"/>
      <c r="C976" s="77"/>
      <c r="D976" s="78"/>
      <c r="E976" s="77"/>
      <c r="F976" s="77"/>
    </row>
    <row r="977" customFormat="false" ht="15" hidden="false" customHeight="false" outlineLevel="0" collapsed="false">
      <c r="A977" s="75"/>
      <c r="B977" s="77"/>
      <c r="C977" s="77"/>
      <c r="D977" s="78"/>
      <c r="E977" s="77"/>
      <c r="F977" s="77"/>
    </row>
    <row r="978" customFormat="false" ht="15" hidden="false" customHeight="false" outlineLevel="0" collapsed="false">
      <c r="A978" s="75"/>
      <c r="B978" s="77"/>
      <c r="C978" s="77"/>
      <c r="D978" s="78"/>
      <c r="E978" s="77"/>
      <c r="F978" s="77"/>
    </row>
    <row r="979" customFormat="false" ht="15" hidden="false" customHeight="false" outlineLevel="0" collapsed="false">
      <c r="A979" s="75"/>
      <c r="B979" s="77"/>
      <c r="C979" s="77"/>
      <c r="D979" s="78"/>
      <c r="E979" s="77"/>
      <c r="F979" s="77"/>
    </row>
    <row r="980" customFormat="false" ht="15" hidden="false" customHeight="false" outlineLevel="0" collapsed="false">
      <c r="A980" s="75"/>
      <c r="B980" s="77"/>
      <c r="C980" s="77"/>
      <c r="D980" s="78"/>
      <c r="E980" s="77"/>
      <c r="F980" s="77"/>
    </row>
    <row r="981" customFormat="false" ht="15" hidden="false" customHeight="false" outlineLevel="0" collapsed="false">
      <c r="A981" s="75"/>
      <c r="B981" s="77"/>
      <c r="C981" s="77"/>
      <c r="D981" s="78"/>
      <c r="E981" s="77"/>
      <c r="F981" s="77"/>
    </row>
    <row r="982" customFormat="false" ht="15" hidden="false" customHeight="false" outlineLevel="0" collapsed="false">
      <c r="A982" s="75"/>
      <c r="B982" s="77"/>
      <c r="C982" s="77"/>
      <c r="D982" s="78"/>
      <c r="E982" s="77"/>
      <c r="F982" s="77"/>
    </row>
    <row r="983" customFormat="false" ht="15" hidden="false" customHeight="false" outlineLevel="0" collapsed="false">
      <c r="A983" s="75"/>
      <c r="B983" s="77"/>
      <c r="C983" s="77"/>
      <c r="D983" s="78"/>
      <c r="E983" s="77"/>
      <c r="F983" s="77"/>
    </row>
    <row r="984" customFormat="false" ht="15" hidden="false" customHeight="false" outlineLevel="0" collapsed="false">
      <c r="A984" s="75"/>
      <c r="B984" s="77"/>
      <c r="C984" s="77"/>
      <c r="D984" s="78"/>
      <c r="E984" s="77"/>
      <c r="F984" s="77"/>
    </row>
    <row r="985" customFormat="false" ht="15" hidden="false" customHeight="false" outlineLevel="0" collapsed="false">
      <c r="A985" s="75"/>
      <c r="B985" s="77"/>
      <c r="C985" s="77"/>
      <c r="D985" s="78"/>
      <c r="E985" s="77"/>
      <c r="F985" s="77"/>
    </row>
    <row r="986" customFormat="false" ht="15" hidden="false" customHeight="false" outlineLevel="0" collapsed="false">
      <c r="A986" s="75"/>
      <c r="B986" s="77"/>
      <c r="C986" s="77"/>
      <c r="D986" s="78"/>
      <c r="E986" s="77"/>
      <c r="F986" s="77"/>
    </row>
    <row r="987" customFormat="false" ht="15" hidden="false" customHeight="false" outlineLevel="0" collapsed="false">
      <c r="A987" s="75"/>
      <c r="B987" s="77"/>
      <c r="C987" s="77"/>
      <c r="D987" s="78"/>
      <c r="E987" s="77"/>
      <c r="F987" s="77"/>
    </row>
    <row r="988" customFormat="false" ht="15" hidden="false" customHeight="false" outlineLevel="0" collapsed="false">
      <c r="A988" s="75"/>
      <c r="B988" s="77"/>
      <c r="C988" s="77"/>
      <c r="D988" s="78"/>
      <c r="E988" s="77"/>
      <c r="F988" s="77"/>
    </row>
    <row r="989" customFormat="false" ht="15" hidden="false" customHeight="false" outlineLevel="0" collapsed="false">
      <c r="A989" s="75"/>
      <c r="B989" s="77"/>
      <c r="C989" s="77"/>
      <c r="D989" s="78"/>
      <c r="E989" s="77"/>
      <c r="F989" s="77"/>
    </row>
    <row r="990" customFormat="false" ht="15" hidden="false" customHeight="false" outlineLevel="0" collapsed="false">
      <c r="A990" s="75"/>
      <c r="B990" s="77"/>
      <c r="C990" s="77"/>
      <c r="D990" s="78"/>
      <c r="E990" s="77"/>
      <c r="F990" s="77"/>
    </row>
    <row r="991" customFormat="false" ht="15" hidden="false" customHeight="false" outlineLevel="0" collapsed="false">
      <c r="A991" s="75"/>
      <c r="B991" s="77"/>
      <c r="C991" s="77"/>
      <c r="D991" s="78"/>
      <c r="E991" s="77"/>
      <c r="F991" s="77"/>
    </row>
    <row r="992" customFormat="false" ht="15" hidden="false" customHeight="false" outlineLevel="0" collapsed="false">
      <c r="A992" s="75"/>
      <c r="B992" s="77"/>
      <c r="C992" s="77"/>
      <c r="D992" s="78"/>
      <c r="E992" s="77"/>
      <c r="F992" s="77"/>
    </row>
    <row r="993" customFormat="false" ht="15" hidden="false" customHeight="false" outlineLevel="0" collapsed="false">
      <c r="A993" s="75"/>
      <c r="B993" s="77"/>
      <c r="C993" s="77"/>
      <c r="D993" s="78"/>
      <c r="E993" s="77"/>
      <c r="F993" s="77"/>
    </row>
    <row r="994" customFormat="false" ht="15" hidden="false" customHeight="false" outlineLevel="0" collapsed="false">
      <c r="A994" s="75"/>
      <c r="B994" s="77"/>
      <c r="C994" s="77"/>
      <c r="D994" s="78"/>
      <c r="E994" s="77"/>
      <c r="F994" s="77"/>
    </row>
    <row r="995" customFormat="false" ht="15" hidden="false" customHeight="false" outlineLevel="0" collapsed="false">
      <c r="A995" s="75"/>
      <c r="B995" s="77"/>
      <c r="C995" s="77"/>
      <c r="D995" s="78"/>
      <c r="E995" s="77"/>
      <c r="F995" s="77"/>
    </row>
    <row r="996" customFormat="false" ht="15" hidden="false" customHeight="false" outlineLevel="0" collapsed="false">
      <c r="A996" s="75"/>
      <c r="B996" s="77"/>
      <c r="C996" s="77"/>
      <c r="D996" s="78"/>
      <c r="E996" s="77"/>
      <c r="F996" s="77"/>
    </row>
    <row r="997" customFormat="false" ht="15" hidden="false" customHeight="false" outlineLevel="0" collapsed="false">
      <c r="A997" s="75"/>
      <c r="B997" s="77"/>
      <c r="C997" s="77"/>
      <c r="D997" s="78"/>
      <c r="E997" s="77"/>
      <c r="F997" s="77"/>
    </row>
    <row r="998" customFormat="false" ht="15" hidden="false" customHeight="false" outlineLevel="0" collapsed="false">
      <c r="A998" s="75"/>
      <c r="B998" s="77"/>
      <c r="C998" s="77"/>
      <c r="D998" s="78"/>
      <c r="E998" s="77"/>
      <c r="F998" s="77"/>
    </row>
    <row r="999" customFormat="false" ht="15" hidden="false" customHeight="false" outlineLevel="0" collapsed="false">
      <c r="A999" s="75"/>
      <c r="B999" s="77"/>
      <c r="C999" s="77"/>
      <c r="D999" s="78"/>
      <c r="E999" s="77"/>
      <c r="F999" s="77"/>
    </row>
    <row r="1000" customFormat="false" ht="15" hidden="false" customHeight="false" outlineLevel="0" collapsed="false">
      <c r="A1000" s="75"/>
      <c r="B1000" s="77"/>
      <c r="C1000" s="77"/>
      <c r="D1000" s="78"/>
      <c r="E1000" s="77"/>
      <c r="F1000" s="77"/>
    </row>
    <row r="1001" customFormat="false" ht="15" hidden="false" customHeight="false" outlineLevel="0" collapsed="false">
      <c r="A1001" s="75"/>
      <c r="B1001" s="77"/>
      <c r="C1001" s="77"/>
      <c r="D1001" s="78"/>
      <c r="E1001" s="77"/>
      <c r="F1001" s="77"/>
    </row>
    <row r="1002" customFormat="false" ht="15" hidden="false" customHeight="false" outlineLevel="0" collapsed="false">
      <c r="A1002" s="75"/>
      <c r="B1002" s="77"/>
      <c r="C1002" s="77"/>
      <c r="D1002" s="78"/>
      <c r="E1002" s="77"/>
      <c r="F1002" s="77"/>
    </row>
    <row r="1003" customFormat="false" ht="15" hidden="false" customHeight="false" outlineLevel="0" collapsed="false">
      <c r="A1003" s="75"/>
      <c r="B1003" s="77"/>
      <c r="C1003" s="77"/>
      <c r="D1003" s="78"/>
      <c r="E1003" s="77"/>
      <c r="F1003" s="77"/>
    </row>
    <row r="1004" customFormat="false" ht="15" hidden="false" customHeight="false" outlineLevel="0" collapsed="false">
      <c r="A1004" s="75"/>
      <c r="B1004" s="77"/>
      <c r="C1004" s="77"/>
      <c r="D1004" s="78"/>
      <c r="E1004" s="77"/>
      <c r="F1004" s="77"/>
    </row>
  </sheetData>
  <autoFilter ref="A4:F2004"/>
  <mergeCells count="2">
    <mergeCell ref="A1:F1"/>
    <mergeCell ref="A2:F2"/>
  </mergeCells>
  <dataValidations count="4">
    <dataValidation allowBlank="true" error="Please enter a valid date, e.g. 26-Oct-2026." errorStyle="warning" errorTitle="Check the date" operator="greaterThan" showDropDown="false" showErrorMessage="true" showInputMessage="false" sqref="A5:A1004" type="date">
      <formula1>36526</formula1>
      <formula2>0</formula2>
    </dataValidation>
    <dataValidation allowBlank="true" error="Please choose an income source from the dropdown." errorStyle="stop" errorTitle="Pick from the list" operator="between" showDropDown="false" showErrorMessage="true" showInputMessage="false" sqref="B5:B1004" type="list">
      <formula1>IncomeSourceList</formula1>
      <formula2>0</formula2>
    </dataValidation>
    <dataValidation allowBlank="true" error="Enter the amount as a positive number." errorStyle="stop" errorTitle="Amount" operator="greaterThanOrEqual" showDropDown="false" showErrorMessage="true" showInputMessage="false" sqref="D5:D1004" type="decimal">
      <formula1>0</formula1>
      <formula2>0</formula2>
    </dataValidation>
    <dataValidation allowBlank="true" error="Please choose from the dropdown." errorStyle="stop" errorTitle="Pick from the list" operator="between" showDropDown="false" showErrorMessage="true" showInputMessage="false" sqref="E5:E1004" type="list">
      <formula1>PaymentList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tru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5" min="4" style="0" width="15"/>
    <col collapsed="false" customWidth="true" hidden="false" outlineLevel="0" max="8" min="6" style="0" width="14"/>
  </cols>
  <sheetData>
    <row r="1" customFormat="false" ht="33.75" hidden="false" customHeight="true" outlineLevel="0" collapsed="false">
      <c r="A1" s="68" t="s">
        <v>139</v>
      </c>
      <c r="B1" s="68"/>
      <c r="C1" s="68"/>
      <c r="D1" s="68"/>
      <c r="E1" s="68"/>
      <c r="F1" s="68"/>
      <c r="G1" s="68"/>
      <c r="H1" s="68"/>
    </row>
    <row r="2" customFormat="false" ht="39.75" hidden="false" customHeight="true" outlineLevel="0" collapsed="false">
      <c r="A2" s="69" t="s">
        <v>140</v>
      </c>
      <c r="B2" s="69"/>
      <c r="C2" s="69"/>
      <c r="D2" s="69"/>
      <c r="E2" s="69"/>
      <c r="F2" s="69"/>
      <c r="G2" s="69"/>
      <c r="H2" s="69"/>
    </row>
    <row r="3" customFormat="false" ht="15" hidden="false" customHeight="false" outlineLevel="0" collapsed="false">
      <c r="E3" s="72" t="s">
        <v>141</v>
      </c>
      <c r="F3" s="80" t="n">
        <f aca="false">SUM(F5:F44)</f>
        <v>0</v>
      </c>
      <c r="G3" s="80" t="n">
        <f aca="false">SUM(G5:G44)</f>
        <v>0</v>
      </c>
      <c r="H3" s="80" t="n">
        <f aca="false">SUM(H5:H44)</f>
        <v>0</v>
      </c>
    </row>
    <row r="4" customFormat="false" ht="36" hidden="false" customHeight="true" outlineLevel="0" collapsed="false">
      <c r="A4" s="22" t="s">
        <v>39</v>
      </c>
      <c r="B4" s="22" t="s">
        <v>142</v>
      </c>
      <c r="C4" s="22" t="s">
        <v>143</v>
      </c>
      <c r="D4" s="22" t="s">
        <v>144</v>
      </c>
      <c r="E4" s="22" t="s">
        <v>145</v>
      </c>
      <c r="F4" s="22" t="s">
        <v>146</v>
      </c>
      <c r="G4" s="22" t="s">
        <v>147</v>
      </c>
      <c r="H4" s="22" t="s">
        <v>148</v>
      </c>
    </row>
    <row r="5" customFormat="false" ht="15" hidden="false" customHeight="false" outlineLevel="0" collapsed="false">
      <c r="A5" s="81" t="str">
        <f aca="false">Settings!$B$6</f>
        <v>Food &amp; Groceries</v>
      </c>
      <c r="B5" s="82" t="s">
        <v>149</v>
      </c>
      <c r="C5" s="83"/>
      <c r="D5" s="75"/>
      <c r="E5" s="75"/>
      <c r="F5" s="84" t="str">
        <f aca="false">IF(OR($C5="",$B5=""),"",IF($B5="Daily",$C5,IF($B5="Weekly",$C5/7,$C5*12/365)))</f>
        <v/>
      </c>
      <c r="G5" s="84" t="str">
        <f aca="false">IF($F5="","",$F5*7)</f>
        <v/>
      </c>
      <c r="H5" s="84" t="str">
        <f aca="false">IF($F5="","",$F5*365/12)</f>
        <v/>
      </c>
    </row>
    <row r="6" customFormat="false" ht="15" hidden="false" customHeight="false" outlineLevel="0" collapsed="false">
      <c r="A6" s="81" t="str">
        <f aca="false">Settings!$B$7</f>
        <v>Eating Out</v>
      </c>
      <c r="B6" s="82" t="s">
        <v>149</v>
      </c>
      <c r="C6" s="83"/>
      <c r="D6" s="75"/>
      <c r="E6" s="75"/>
      <c r="F6" s="84" t="str">
        <f aca="false">IF(OR($C6="",$B6=""),"",IF($B6="Daily",$C6,IF($B6="Weekly",$C6/7,$C6*12/365)))</f>
        <v/>
      </c>
      <c r="G6" s="84" t="str">
        <f aca="false">IF($F6="","",$F6*7)</f>
        <v/>
      </c>
      <c r="H6" s="84" t="str">
        <f aca="false">IF($F6="","",$F6*365/12)</f>
        <v/>
      </c>
    </row>
    <row r="7" customFormat="false" ht="15" hidden="false" customHeight="false" outlineLevel="0" collapsed="false">
      <c r="A7" s="81" t="str">
        <f aca="false">Settings!$B$8</f>
        <v>Rent &amp; Housing</v>
      </c>
      <c r="B7" s="82" t="s">
        <v>149</v>
      </c>
      <c r="C7" s="83"/>
      <c r="D7" s="75"/>
      <c r="E7" s="75"/>
      <c r="F7" s="84" t="str">
        <f aca="false">IF(OR($C7="",$B7=""),"",IF($B7="Daily",$C7,IF($B7="Weekly",$C7/7,$C7*12/365)))</f>
        <v/>
      </c>
      <c r="G7" s="84" t="str">
        <f aca="false">IF($F7="","",$F7*7)</f>
        <v/>
      </c>
      <c r="H7" s="84" t="str">
        <f aca="false">IF($F7="","",$F7*365/12)</f>
        <v/>
      </c>
    </row>
    <row r="8" customFormat="false" ht="15" hidden="false" customHeight="false" outlineLevel="0" collapsed="false">
      <c r="A8" s="81" t="str">
        <f aca="false">Settings!$B$9</f>
        <v>Utilities</v>
      </c>
      <c r="B8" s="82" t="s">
        <v>149</v>
      </c>
      <c r="C8" s="83"/>
      <c r="D8" s="75"/>
      <c r="E8" s="75"/>
      <c r="F8" s="84" t="str">
        <f aca="false">IF(OR($C8="",$B8=""),"",IF($B8="Daily",$C8,IF($B8="Weekly",$C8/7,$C8*12/365)))</f>
        <v/>
      </c>
      <c r="G8" s="84" t="str">
        <f aca="false">IF($F8="","",$F8*7)</f>
        <v/>
      </c>
      <c r="H8" s="84" t="str">
        <f aca="false">IF($F8="","",$F8*365/12)</f>
        <v/>
      </c>
    </row>
    <row r="9" customFormat="false" ht="15" hidden="false" customHeight="false" outlineLevel="0" collapsed="false">
      <c r="A9" s="81" t="str">
        <f aca="false">Settings!$B$10</f>
        <v>Transport &amp; Fuel</v>
      </c>
      <c r="B9" s="82" t="s">
        <v>149</v>
      </c>
      <c r="C9" s="83"/>
      <c r="D9" s="75"/>
      <c r="E9" s="75"/>
      <c r="F9" s="84" t="str">
        <f aca="false">IF(OR($C9="",$B9=""),"",IF($B9="Daily",$C9,IF($B9="Weekly",$C9/7,$C9*12/365)))</f>
        <v/>
      </c>
      <c r="G9" s="84" t="str">
        <f aca="false">IF($F9="","",$F9*7)</f>
        <v/>
      </c>
      <c r="H9" s="84" t="str">
        <f aca="false">IF($F9="","",$F9*365/12)</f>
        <v/>
      </c>
    </row>
    <row r="10" customFormat="false" ht="15" hidden="false" customHeight="false" outlineLevel="0" collapsed="false">
      <c r="A10" s="81" t="str">
        <f aca="false">Settings!$B$11</f>
        <v>Airtime &amp; Data</v>
      </c>
      <c r="B10" s="82" t="s">
        <v>149</v>
      </c>
      <c r="C10" s="83"/>
      <c r="D10" s="75"/>
      <c r="E10" s="75"/>
      <c r="F10" s="84" t="str">
        <f aca="false">IF(OR($C10="",$B10=""),"",IF($B10="Daily",$C10,IF($B10="Weekly",$C10/7,$C10*12/365)))</f>
        <v/>
      </c>
      <c r="G10" s="84" t="str">
        <f aca="false">IF($F10="","",$F10*7)</f>
        <v/>
      </c>
      <c r="H10" s="84" t="str">
        <f aca="false">IF($F10="","",$F10*365/12)</f>
        <v/>
      </c>
    </row>
    <row r="11" customFormat="false" ht="15" hidden="false" customHeight="false" outlineLevel="0" collapsed="false">
      <c r="A11" s="81" t="str">
        <f aca="false">Settings!$B$12</f>
        <v>Health &amp; Medical</v>
      </c>
      <c r="B11" s="82" t="s">
        <v>149</v>
      </c>
      <c r="C11" s="83"/>
      <c r="D11" s="75"/>
      <c r="E11" s="75"/>
      <c r="F11" s="84" t="str">
        <f aca="false">IF(OR($C11="",$B11=""),"",IF($B11="Daily",$C11,IF($B11="Weekly",$C11/7,$C11*12/365)))</f>
        <v/>
      </c>
      <c r="G11" s="84" t="str">
        <f aca="false">IF($F11="","",$F11*7)</f>
        <v/>
      </c>
      <c r="H11" s="84" t="str">
        <f aca="false">IF($F11="","",$F11*365/12)</f>
        <v/>
      </c>
    </row>
    <row r="12" customFormat="false" ht="15" hidden="false" customHeight="false" outlineLevel="0" collapsed="false">
      <c r="A12" s="81" t="str">
        <f aca="false">Settings!$B$13</f>
        <v>Education &amp; School Fees</v>
      </c>
      <c r="B12" s="82" t="s">
        <v>149</v>
      </c>
      <c r="C12" s="83"/>
      <c r="D12" s="75"/>
      <c r="E12" s="75"/>
      <c r="F12" s="84" t="str">
        <f aca="false">IF(OR($C12="",$B12=""),"",IF($B12="Daily",$C12,IF($B12="Weekly",$C12/7,$C12*12/365)))</f>
        <v/>
      </c>
      <c r="G12" s="84" t="str">
        <f aca="false">IF($F12="","",$F12*7)</f>
        <v/>
      </c>
      <c r="H12" s="84" t="str">
        <f aca="false">IF($F12="","",$F12*365/12)</f>
        <v/>
      </c>
    </row>
    <row r="13" customFormat="false" ht="15" hidden="false" customHeight="false" outlineLevel="0" collapsed="false">
      <c r="A13" s="81" t="str">
        <f aca="false">Settings!$B$14</f>
        <v>Business Expenses</v>
      </c>
      <c r="B13" s="82" t="s">
        <v>149</v>
      </c>
      <c r="C13" s="83"/>
      <c r="D13" s="75"/>
      <c r="E13" s="75"/>
      <c r="F13" s="84" t="str">
        <f aca="false">IF(OR($C13="",$B13=""),"",IF($B13="Daily",$C13,IF($B13="Weekly",$C13/7,$C13*12/365)))</f>
        <v/>
      </c>
      <c r="G13" s="84" t="str">
        <f aca="false">IF($F13="","",$F13*7)</f>
        <v/>
      </c>
      <c r="H13" s="84" t="str">
        <f aca="false">IF($F13="","",$F13*365/12)</f>
        <v/>
      </c>
    </row>
    <row r="14" customFormat="false" ht="15" hidden="false" customHeight="false" outlineLevel="0" collapsed="false">
      <c r="A14" s="81" t="str">
        <f aca="false">Settings!$B$15</f>
        <v>Shopping &amp; Clothing</v>
      </c>
      <c r="B14" s="82" t="s">
        <v>149</v>
      </c>
      <c r="C14" s="83"/>
      <c r="D14" s="75"/>
      <c r="E14" s="75"/>
      <c r="F14" s="84" t="str">
        <f aca="false">IF(OR($C14="",$B14=""),"",IF($B14="Daily",$C14,IF($B14="Weekly",$C14/7,$C14*12/365)))</f>
        <v/>
      </c>
      <c r="G14" s="84" t="str">
        <f aca="false">IF($F14="","",$F14*7)</f>
        <v/>
      </c>
      <c r="H14" s="84" t="str">
        <f aca="false">IF($F14="","",$F14*365/12)</f>
        <v/>
      </c>
    </row>
    <row r="15" customFormat="false" ht="15" hidden="false" customHeight="false" outlineLevel="0" collapsed="false">
      <c r="A15" s="81" t="str">
        <f aca="false">Settings!$B$16</f>
        <v>Entertainment &amp; Leisure</v>
      </c>
      <c r="B15" s="82" t="s">
        <v>149</v>
      </c>
      <c r="C15" s="83"/>
      <c r="D15" s="75"/>
      <c r="E15" s="75"/>
      <c r="F15" s="84" t="str">
        <f aca="false">IF(OR($C15="",$B15=""),"",IF($B15="Daily",$C15,IF($B15="Weekly",$C15/7,$C15*12/365)))</f>
        <v/>
      </c>
      <c r="G15" s="84" t="str">
        <f aca="false">IF($F15="","",$F15*7)</f>
        <v/>
      </c>
      <c r="H15" s="84" t="str">
        <f aca="false">IF($F15="","",$F15*365/12)</f>
        <v/>
      </c>
    </row>
    <row r="16" customFormat="false" ht="15" hidden="false" customHeight="false" outlineLevel="0" collapsed="false">
      <c r="A16" s="81" t="str">
        <f aca="false">Settings!$B$17</f>
        <v>Personal Care</v>
      </c>
      <c r="B16" s="82" t="s">
        <v>149</v>
      </c>
      <c r="C16" s="83"/>
      <c r="D16" s="75"/>
      <c r="E16" s="75"/>
      <c r="F16" s="84" t="str">
        <f aca="false">IF(OR($C16="",$B16=""),"",IF($B16="Daily",$C16,IF($B16="Weekly",$C16/7,$C16*12/365)))</f>
        <v/>
      </c>
      <c r="G16" s="84" t="str">
        <f aca="false">IF($F16="","",$F16*7)</f>
        <v/>
      </c>
      <c r="H16" s="84" t="str">
        <f aca="false">IF($F16="","",$F16*365/12)</f>
        <v/>
      </c>
    </row>
    <row r="17" customFormat="false" ht="15" hidden="false" customHeight="false" outlineLevel="0" collapsed="false">
      <c r="A17" s="81" t="str">
        <f aca="false">Settings!$B$18</f>
        <v>Family &amp; Support</v>
      </c>
      <c r="B17" s="82" t="s">
        <v>149</v>
      </c>
      <c r="C17" s="83"/>
      <c r="D17" s="75"/>
      <c r="E17" s="75"/>
      <c r="F17" s="84" t="str">
        <f aca="false">IF(OR($C17="",$B17=""),"",IF($B17="Daily",$C17,IF($B17="Weekly",$C17/7,$C17*12/365)))</f>
        <v/>
      </c>
      <c r="G17" s="84" t="str">
        <f aca="false">IF($F17="","",$F17*7)</f>
        <v/>
      </c>
      <c r="H17" s="84" t="str">
        <f aca="false">IF($F17="","",$F17*365/12)</f>
        <v/>
      </c>
    </row>
    <row r="18" customFormat="false" ht="15" hidden="false" customHeight="false" outlineLevel="0" collapsed="false">
      <c r="A18" s="81" t="str">
        <f aca="false">Settings!$B$19</f>
        <v>Giving &amp; Church</v>
      </c>
      <c r="B18" s="82" t="s">
        <v>149</v>
      </c>
      <c r="C18" s="83"/>
      <c r="D18" s="75"/>
      <c r="E18" s="75"/>
      <c r="F18" s="84" t="str">
        <f aca="false">IF(OR($C18="",$B18=""),"",IF($B18="Daily",$C18,IF($B18="Weekly",$C18/7,$C18*12/365)))</f>
        <v/>
      </c>
      <c r="G18" s="84" t="str">
        <f aca="false">IF($F18="","",$F18*7)</f>
        <v/>
      </c>
      <c r="H18" s="84" t="str">
        <f aca="false">IF($F18="","",$F18*365/12)</f>
        <v/>
      </c>
    </row>
    <row r="19" customFormat="false" ht="15" hidden="false" customHeight="false" outlineLevel="0" collapsed="false">
      <c r="A19" s="81" t="str">
        <f aca="false">Settings!$B$20</f>
        <v>Loans &amp; Debt</v>
      </c>
      <c r="B19" s="82" t="s">
        <v>149</v>
      </c>
      <c r="C19" s="83"/>
      <c r="D19" s="75"/>
      <c r="E19" s="75"/>
      <c r="F19" s="84" t="str">
        <f aca="false">IF(OR($C19="",$B19=""),"",IF($B19="Daily",$C19,IF($B19="Weekly",$C19/7,$C19*12/365)))</f>
        <v/>
      </c>
      <c r="G19" s="84" t="str">
        <f aca="false">IF($F19="","",$F19*7)</f>
        <v/>
      </c>
      <c r="H19" s="84" t="str">
        <f aca="false">IF($F19="","",$F19*365/12)</f>
        <v/>
      </c>
    </row>
    <row r="20" customFormat="false" ht="15" hidden="false" customHeight="false" outlineLevel="0" collapsed="false">
      <c r="A20" s="81" t="str">
        <f aca="false">Settings!$B$21</f>
        <v>Other</v>
      </c>
      <c r="B20" s="82" t="s">
        <v>149</v>
      </c>
      <c r="C20" s="83"/>
      <c r="D20" s="75"/>
      <c r="E20" s="75"/>
      <c r="F20" s="84" t="str">
        <f aca="false">IF(OR($C20="",$B20=""),"",IF($B20="Daily",$C20,IF($B20="Weekly",$C20/7,$C20*12/365)))</f>
        <v/>
      </c>
      <c r="G20" s="84" t="str">
        <f aca="false">IF($F20="","",$F20*7)</f>
        <v/>
      </c>
      <c r="H20" s="84" t="str">
        <f aca="false">IF($F20="","",$F20*365/12)</f>
        <v/>
      </c>
    </row>
    <row r="21" customFormat="false" ht="15" hidden="false" customHeight="false" outlineLevel="0" collapsed="false">
      <c r="A21" s="81"/>
      <c r="B21" s="82"/>
      <c r="C21" s="83"/>
      <c r="D21" s="75"/>
      <c r="E21" s="75"/>
      <c r="F21" s="84" t="str">
        <f aca="false">IF(OR($C21="",$B21=""),"",IF($B21="Daily",$C21,IF($B21="Weekly",$C21/7,$C21*12/365)))</f>
        <v/>
      </c>
      <c r="G21" s="84" t="str">
        <f aca="false">IF($F21="","",$F21*7)</f>
        <v/>
      </c>
      <c r="H21" s="84" t="str">
        <f aca="false">IF($F21="","",$F21*365/12)</f>
        <v/>
      </c>
    </row>
    <row r="22" customFormat="false" ht="15" hidden="false" customHeight="false" outlineLevel="0" collapsed="false">
      <c r="A22" s="81"/>
      <c r="B22" s="82"/>
      <c r="C22" s="83"/>
      <c r="D22" s="75"/>
      <c r="E22" s="75"/>
      <c r="F22" s="84" t="str">
        <f aca="false">IF(OR($C22="",$B22=""),"",IF($B22="Daily",$C22,IF($B22="Weekly",$C22/7,$C22*12/365)))</f>
        <v/>
      </c>
      <c r="G22" s="84" t="str">
        <f aca="false">IF($F22="","",$F22*7)</f>
        <v/>
      </c>
      <c r="H22" s="84" t="str">
        <f aca="false">IF($F22="","",$F22*365/12)</f>
        <v/>
      </c>
    </row>
    <row r="23" customFormat="false" ht="15" hidden="false" customHeight="false" outlineLevel="0" collapsed="false">
      <c r="A23" s="81"/>
      <c r="B23" s="82"/>
      <c r="C23" s="83"/>
      <c r="D23" s="75"/>
      <c r="E23" s="75"/>
      <c r="F23" s="84" t="str">
        <f aca="false">IF(OR($C23="",$B23=""),"",IF($B23="Daily",$C23,IF($B23="Weekly",$C23/7,$C23*12/365)))</f>
        <v/>
      </c>
      <c r="G23" s="84" t="str">
        <f aca="false">IF($F23="","",$F23*7)</f>
        <v/>
      </c>
      <c r="H23" s="84" t="str">
        <f aca="false">IF($F23="","",$F23*365/12)</f>
        <v/>
      </c>
    </row>
    <row r="24" customFormat="false" ht="15" hidden="false" customHeight="false" outlineLevel="0" collapsed="false">
      <c r="A24" s="81"/>
      <c r="B24" s="82"/>
      <c r="C24" s="83"/>
      <c r="D24" s="75"/>
      <c r="E24" s="75"/>
      <c r="F24" s="84" t="str">
        <f aca="false">IF(OR($C24="",$B24=""),"",IF($B24="Daily",$C24,IF($B24="Weekly",$C24/7,$C24*12/365)))</f>
        <v/>
      </c>
      <c r="G24" s="84" t="str">
        <f aca="false">IF($F24="","",$F24*7)</f>
        <v/>
      </c>
      <c r="H24" s="84" t="str">
        <f aca="false">IF($F24="","",$F24*365/12)</f>
        <v/>
      </c>
    </row>
    <row r="25" customFormat="false" ht="15" hidden="false" customHeight="false" outlineLevel="0" collapsed="false">
      <c r="A25" s="81"/>
      <c r="B25" s="82"/>
      <c r="C25" s="83"/>
      <c r="D25" s="75"/>
      <c r="E25" s="75"/>
      <c r="F25" s="84" t="str">
        <f aca="false">IF(OR($C25="",$B25=""),"",IF($B25="Daily",$C25,IF($B25="Weekly",$C25/7,$C25*12/365)))</f>
        <v/>
      </c>
      <c r="G25" s="84" t="str">
        <f aca="false">IF($F25="","",$F25*7)</f>
        <v/>
      </c>
      <c r="H25" s="84" t="str">
        <f aca="false">IF($F25="","",$F25*365/12)</f>
        <v/>
      </c>
    </row>
    <row r="26" customFormat="false" ht="15" hidden="false" customHeight="false" outlineLevel="0" collapsed="false">
      <c r="A26" s="81"/>
      <c r="B26" s="82"/>
      <c r="C26" s="83"/>
      <c r="D26" s="75"/>
      <c r="E26" s="75"/>
      <c r="F26" s="84" t="str">
        <f aca="false">IF(OR($C26="",$B26=""),"",IF($B26="Daily",$C26,IF($B26="Weekly",$C26/7,$C26*12/365)))</f>
        <v/>
      </c>
      <c r="G26" s="84" t="str">
        <f aca="false">IF($F26="","",$F26*7)</f>
        <v/>
      </c>
      <c r="H26" s="84" t="str">
        <f aca="false">IF($F26="","",$F26*365/12)</f>
        <v/>
      </c>
    </row>
    <row r="27" customFormat="false" ht="15" hidden="false" customHeight="false" outlineLevel="0" collapsed="false">
      <c r="A27" s="81"/>
      <c r="B27" s="82"/>
      <c r="C27" s="83"/>
      <c r="D27" s="75"/>
      <c r="E27" s="75"/>
      <c r="F27" s="84" t="str">
        <f aca="false">IF(OR($C27="",$B27=""),"",IF($B27="Daily",$C27,IF($B27="Weekly",$C27/7,$C27*12/365)))</f>
        <v/>
      </c>
      <c r="G27" s="84" t="str">
        <f aca="false">IF($F27="","",$F27*7)</f>
        <v/>
      </c>
      <c r="H27" s="84" t="str">
        <f aca="false">IF($F27="","",$F27*365/12)</f>
        <v/>
      </c>
    </row>
    <row r="28" customFormat="false" ht="15" hidden="false" customHeight="false" outlineLevel="0" collapsed="false">
      <c r="A28" s="81"/>
      <c r="B28" s="82"/>
      <c r="C28" s="83"/>
      <c r="D28" s="75"/>
      <c r="E28" s="75"/>
      <c r="F28" s="84" t="str">
        <f aca="false">IF(OR($C28="",$B28=""),"",IF($B28="Daily",$C28,IF($B28="Weekly",$C28/7,$C28*12/365)))</f>
        <v/>
      </c>
      <c r="G28" s="84" t="str">
        <f aca="false">IF($F28="","",$F28*7)</f>
        <v/>
      </c>
      <c r="H28" s="84" t="str">
        <f aca="false">IF($F28="","",$F28*365/12)</f>
        <v/>
      </c>
    </row>
    <row r="29" customFormat="false" ht="15" hidden="false" customHeight="false" outlineLevel="0" collapsed="false">
      <c r="A29" s="81"/>
      <c r="B29" s="82"/>
      <c r="C29" s="83"/>
      <c r="D29" s="75"/>
      <c r="E29" s="75"/>
      <c r="F29" s="84" t="str">
        <f aca="false">IF(OR($C29="",$B29=""),"",IF($B29="Daily",$C29,IF($B29="Weekly",$C29/7,$C29*12/365)))</f>
        <v/>
      </c>
      <c r="G29" s="84" t="str">
        <f aca="false">IF($F29="","",$F29*7)</f>
        <v/>
      </c>
      <c r="H29" s="84" t="str">
        <f aca="false">IF($F29="","",$F29*365/12)</f>
        <v/>
      </c>
    </row>
    <row r="30" customFormat="false" ht="15" hidden="false" customHeight="false" outlineLevel="0" collapsed="false">
      <c r="A30" s="81"/>
      <c r="B30" s="82"/>
      <c r="C30" s="83"/>
      <c r="D30" s="75"/>
      <c r="E30" s="75"/>
      <c r="F30" s="84" t="str">
        <f aca="false">IF(OR($C30="",$B30=""),"",IF($B30="Daily",$C30,IF($B30="Weekly",$C30/7,$C30*12/365)))</f>
        <v/>
      </c>
      <c r="G30" s="84" t="str">
        <f aca="false">IF($F30="","",$F30*7)</f>
        <v/>
      </c>
      <c r="H30" s="84" t="str">
        <f aca="false">IF($F30="","",$F30*365/12)</f>
        <v/>
      </c>
    </row>
    <row r="31" customFormat="false" ht="15" hidden="false" customHeight="false" outlineLevel="0" collapsed="false">
      <c r="A31" s="81"/>
      <c r="B31" s="82"/>
      <c r="C31" s="83"/>
      <c r="D31" s="75"/>
      <c r="E31" s="75"/>
      <c r="F31" s="84" t="str">
        <f aca="false">IF(OR($C31="",$B31=""),"",IF($B31="Daily",$C31,IF($B31="Weekly",$C31/7,$C31*12/365)))</f>
        <v/>
      </c>
      <c r="G31" s="84" t="str">
        <f aca="false">IF($F31="","",$F31*7)</f>
        <v/>
      </c>
      <c r="H31" s="84" t="str">
        <f aca="false">IF($F31="","",$F31*365/12)</f>
        <v/>
      </c>
    </row>
    <row r="32" customFormat="false" ht="15" hidden="false" customHeight="false" outlineLevel="0" collapsed="false">
      <c r="A32" s="81"/>
      <c r="B32" s="82"/>
      <c r="C32" s="83"/>
      <c r="D32" s="75"/>
      <c r="E32" s="75"/>
      <c r="F32" s="84" t="str">
        <f aca="false">IF(OR($C32="",$B32=""),"",IF($B32="Daily",$C32,IF($B32="Weekly",$C32/7,$C32*12/365)))</f>
        <v/>
      </c>
      <c r="G32" s="84" t="str">
        <f aca="false">IF($F32="","",$F32*7)</f>
        <v/>
      </c>
      <c r="H32" s="84" t="str">
        <f aca="false">IF($F32="","",$F32*365/12)</f>
        <v/>
      </c>
    </row>
    <row r="33" customFormat="false" ht="15" hidden="false" customHeight="false" outlineLevel="0" collapsed="false">
      <c r="A33" s="81"/>
      <c r="B33" s="82"/>
      <c r="C33" s="83"/>
      <c r="D33" s="75"/>
      <c r="E33" s="75"/>
      <c r="F33" s="84" t="str">
        <f aca="false">IF(OR($C33="",$B33=""),"",IF($B33="Daily",$C33,IF($B33="Weekly",$C33/7,$C33*12/365)))</f>
        <v/>
      </c>
      <c r="G33" s="84" t="str">
        <f aca="false">IF($F33="","",$F33*7)</f>
        <v/>
      </c>
      <c r="H33" s="84" t="str">
        <f aca="false">IF($F33="","",$F33*365/12)</f>
        <v/>
      </c>
    </row>
    <row r="34" customFormat="false" ht="15" hidden="false" customHeight="false" outlineLevel="0" collapsed="false">
      <c r="A34" s="81"/>
      <c r="B34" s="82"/>
      <c r="C34" s="83"/>
      <c r="D34" s="75"/>
      <c r="E34" s="75"/>
      <c r="F34" s="84" t="str">
        <f aca="false">IF(OR($C34="",$B34=""),"",IF($B34="Daily",$C34,IF($B34="Weekly",$C34/7,$C34*12/365)))</f>
        <v/>
      </c>
      <c r="G34" s="84" t="str">
        <f aca="false">IF($F34="","",$F34*7)</f>
        <v/>
      </c>
      <c r="H34" s="84" t="str">
        <f aca="false">IF($F34="","",$F34*365/12)</f>
        <v/>
      </c>
    </row>
    <row r="35" customFormat="false" ht="15" hidden="false" customHeight="false" outlineLevel="0" collapsed="false">
      <c r="A35" s="81"/>
      <c r="B35" s="82"/>
      <c r="C35" s="83"/>
      <c r="D35" s="75"/>
      <c r="E35" s="75"/>
      <c r="F35" s="84" t="str">
        <f aca="false">IF(OR($C35="",$B35=""),"",IF($B35="Daily",$C35,IF($B35="Weekly",$C35/7,$C35*12/365)))</f>
        <v/>
      </c>
      <c r="G35" s="84" t="str">
        <f aca="false">IF($F35="","",$F35*7)</f>
        <v/>
      </c>
      <c r="H35" s="84" t="str">
        <f aca="false">IF($F35="","",$F35*365/12)</f>
        <v/>
      </c>
    </row>
    <row r="36" customFormat="false" ht="15" hidden="false" customHeight="false" outlineLevel="0" collapsed="false">
      <c r="A36" s="81"/>
      <c r="B36" s="82"/>
      <c r="C36" s="83"/>
      <c r="D36" s="75"/>
      <c r="E36" s="75"/>
      <c r="F36" s="84" t="str">
        <f aca="false">IF(OR($C36="",$B36=""),"",IF($B36="Daily",$C36,IF($B36="Weekly",$C36/7,$C36*12/365)))</f>
        <v/>
      </c>
      <c r="G36" s="84" t="str">
        <f aca="false">IF($F36="","",$F36*7)</f>
        <v/>
      </c>
      <c r="H36" s="84" t="str">
        <f aca="false">IF($F36="","",$F36*365/12)</f>
        <v/>
      </c>
    </row>
    <row r="37" customFormat="false" ht="15" hidden="false" customHeight="false" outlineLevel="0" collapsed="false">
      <c r="A37" s="81"/>
      <c r="B37" s="82"/>
      <c r="C37" s="83"/>
      <c r="D37" s="75"/>
      <c r="E37" s="75"/>
      <c r="F37" s="84" t="str">
        <f aca="false">IF(OR($C37="",$B37=""),"",IF($B37="Daily",$C37,IF($B37="Weekly",$C37/7,$C37*12/365)))</f>
        <v/>
      </c>
      <c r="G37" s="84" t="str">
        <f aca="false">IF($F37="","",$F37*7)</f>
        <v/>
      </c>
      <c r="H37" s="84" t="str">
        <f aca="false">IF($F37="","",$F37*365/12)</f>
        <v/>
      </c>
    </row>
    <row r="38" customFormat="false" ht="15" hidden="false" customHeight="false" outlineLevel="0" collapsed="false">
      <c r="A38" s="81"/>
      <c r="B38" s="82"/>
      <c r="C38" s="83"/>
      <c r="D38" s="75"/>
      <c r="E38" s="75"/>
      <c r="F38" s="84" t="str">
        <f aca="false">IF(OR($C38="",$B38=""),"",IF($B38="Daily",$C38,IF($B38="Weekly",$C38/7,$C38*12/365)))</f>
        <v/>
      </c>
      <c r="G38" s="84" t="str">
        <f aca="false">IF($F38="","",$F38*7)</f>
        <v/>
      </c>
      <c r="H38" s="84" t="str">
        <f aca="false">IF($F38="","",$F38*365/12)</f>
        <v/>
      </c>
    </row>
    <row r="39" customFormat="false" ht="15" hidden="false" customHeight="false" outlineLevel="0" collapsed="false">
      <c r="A39" s="81"/>
      <c r="B39" s="82"/>
      <c r="C39" s="83"/>
      <c r="D39" s="75"/>
      <c r="E39" s="75"/>
      <c r="F39" s="84" t="str">
        <f aca="false">IF(OR($C39="",$B39=""),"",IF($B39="Daily",$C39,IF($B39="Weekly",$C39/7,$C39*12/365)))</f>
        <v/>
      </c>
      <c r="G39" s="84" t="str">
        <f aca="false">IF($F39="","",$F39*7)</f>
        <v/>
      </c>
      <c r="H39" s="84" t="str">
        <f aca="false">IF($F39="","",$F39*365/12)</f>
        <v/>
      </c>
    </row>
    <row r="40" customFormat="false" ht="15" hidden="false" customHeight="false" outlineLevel="0" collapsed="false">
      <c r="A40" s="81"/>
      <c r="B40" s="82"/>
      <c r="C40" s="83"/>
      <c r="D40" s="75"/>
      <c r="E40" s="75"/>
      <c r="F40" s="84" t="str">
        <f aca="false">IF(OR($C40="",$B40=""),"",IF($B40="Daily",$C40,IF($B40="Weekly",$C40/7,$C40*12/365)))</f>
        <v/>
      </c>
      <c r="G40" s="84" t="str">
        <f aca="false">IF($F40="","",$F40*7)</f>
        <v/>
      </c>
      <c r="H40" s="84" t="str">
        <f aca="false">IF($F40="","",$F40*365/12)</f>
        <v/>
      </c>
    </row>
    <row r="41" customFormat="false" ht="15" hidden="false" customHeight="false" outlineLevel="0" collapsed="false">
      <c r="A41" s="81"/>
      <c r="B41" s="82"/>
      <c r="C41" s="83"/>
      <c r="D41" s="75"/>
      <c r="E41" s="75"/>
      <c r="F41" s="84" t="str">
        <f aca="false">IF(OR($C41="",$B41=""),"",IF($B41="Daily",$C41,IF($B41="Weekly",$C41/7,$C41*12/365)))</f>
        <v/>
      </c>
      <c r="G41" s="84" t="str">
        <f aca="false">IF($F41="","",$F41*7)</f>
        <v/>
      </c>
      <c r="H41" s="84" t="str">
        <f aca="false">IF($F41="","",$F41*365/12)</f>
        <v/>
      </c>
    </row>
    <row r="42" customFormat="false" ht="15" hidden="false" customHeight="false" outlineLevel="0" collapsed="false">
      <c r="A42" s="81"/>
      <c r="B42" s="82"/>
      <c r="C42" s="83"/>
      <c r="D42" s="75"/>
      <c r="E42" s="75"/>
      <c r="F42" s="84" t="str">
        <f aca="false">IF(OR($C42="",$B42=""),"",IF($B42="Daily",$C42,IF($B42="Weekly",$C42/7,$C42*12/365)))</f>
        <v/>
      </c>
      <c r="G42" s="84" t="str">
        <f aca="false">IF($F42="","",$F42*7)</f>
        <v/>
      </c>
      <c r="H42" s="84" t="str">
        <f aca="false">IF($F42="","",$F42*365/12)</f>
        <v/>
      </c>
    </row>
    <row r="43" customFormat="false" ht="15" hidden="false" customHeight="false" outlineLevel="0" collapsed="false">
      <c r="A43" s="81"/>
      <c r="B43" s="82"/>
      <c r="C43" s="83"/>
      <c r="D43" s="75"/>
      <c r="E43" s="75"/>
      <c r="F43" s="84" t="str">
        <f aca="false">IF(OR($C43="",$B43=""),"",IF($B43="Daily",$C43,IF($B43="Weekly",$C43/7,$C43*12/365)))</f>
        <v/>
      </c>
      <c r="G43" s="84" t="str">
        <f aca="false">IF($F43="","",$F43*7)</f>
        <v/>
      </c>
      <c r="H43" s="84" t="str">
        <f aca="false">IF($F43="","",$F43*365/12)</f>
        <v/>
      </c>
    </row>
    <row r="44" customFormat="false" ht="15" hidden="false" customHeight="false" outlineLevel="0" collapsed="false">
      <c r="A44" s="81"/>
      <c r="B44" s="82"/>
      <c r="C44" s="83"/>
      <c r="D44" s="75"/>
      <c r="E44" s="75"/>
      <c r="F44" s="84" t="str">
        <f aca="false">IF(OR($C44="",$B44=""),"",IF($B44="Daily",$C44,IF($B44="Weekly",$C44/7,$C44*12/365)))</f>
        <v/>
      </c>
      <c r="G44" s="84" t="str">
        <f aca="false">IF($F44="","",$F44*7)</f>
        <v/>
      </c>
      <c r="H44" s="84" t="str">
        <f aca="false">IF($F44="","",$F44*365/12)</f>
        <v/>
      </c>
    </row>
  </sheetData>
  <mergeCells count="2">
    <mergeCell ref="A1:H1"/>
    <mergeCell ref="A2:H2"/>
  </mergeCells>
  <dataValidations count="4">
    <dataValidation allowBlank="true" error="Please choose a category from the dropdown." errorStyle="stop" errorTitle="Pick from the list" operator="between" showDropDown="false" showErrorMessage="true" showInputMessage="false" sqref="A5:A44" type="list">
      <formula1>CategoryList</formula1>
      <formula2>0</formula2>
    </dataValidation>
    <dataValidation allowBlank="true" error="Choose Daily, Weekly or Monthly." errorStyle="stop" errorTitle="Pick a period" operator="between" showDropDown="false" showErrorMessage="true" showInputMessage="false" sqref="B5:B44" type="list">
      <formula1>PeriodList</formula1>
      <formula2>0</formula2>
    </dataValidation>
    <dataValidation allowBlank="true" error="Enter the budget as a positive number." errorStyle="stop" errorTitle="Amount" operator="greaterThanOrEqual" showDropDown="false" showErrorMessage="true" showInputMessage="false" sqref="C5:C44" type="decimal">
      <formula1>0</formula1>
      <formula2>0</formula2>
    </dataValidation>
    <dataValidation allowBlank="true" error="Enter a valid date, or leave blank." errorStyle="warning" errorTitle="Check the date" operator="greaterThan" showDropDown="false" showErrorMessage="true" showInputMessage="false" sqref="D5:E4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8DB5"/>
    <pageSetUpPr fitToPage="true"/>
  </sheetPr>
  <dimension ref="B1:K1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6" min="6" style="0" width="26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2"/>
    <col collapsed="false" customWidth="true" hidden="true" outlineLevel="0" max="11" min="11" style="0" width="8"/>
  </cols>
  <sheetData>
    <row r="1" customFormat="false" ht="33.75" hidden="false" customHeight="true" outlineLevel="0" collapsed="false">
      <c r="B1" s="68" t="s">
        <v>150</v>
      </c>
      <c r="C1" s="68"/>
      <c r="D1" s="68"/>
      <c r="E1" s="68"/>
      <c r="F1" s="68"/>
      <c r="G1" s="68"/>
      <c r="H1" s="68"/>
      <c r="I1" s="68"/>
    </row>
    <row r="2" customFormat="false" ht="15" hidden="false" customHeight="false" outlineLevel="0" collapsed="false">
      <c r="B2" s="85" t="s">
        <v>151</v>
      </c>
      <c r="C2" s="85"/>
      <c r="D2" s="85"/>
      <c r="E2" s="85"/>
      <c r="F2" s="85"/>
      <c r="G2" s="85"/>
      <c r="H2" s="85"/>
      <c r="I2" s="85"/>
    </row>
    <row r="4" customFormat="false" ht="15" hidden="false" customHeight="false" outlineLevel="0" collapsed="false">
      <c r="C4" s="86" t="s">
        <v>152</v>
      </c>
      <c r="D4" s="86"/>
      <c r="E4" s="87"/>
      <c r="F4" s="85" t="s">
        <v>153</v>
      </c>
      <c r="G4" s="85"/>
      <c r="H4" s="85"/>
      <c r="I4" s="85"/>
    </row>
    <row r="5" customFormat="false" ht="15" hidden="false" customHeight="false" outlineLevel="0" collapsed="false">
      <c r="C5" s="86" t="s">
        <v>154</v>
      </c>
      <c r="D5" s="86"/>
      <c r="E5" s="87"/>
      <c r="F5" s="85" t="s">
        <v>153</v>
      </c>
      <c r="G5" s="85"/>
      <c r="H5" s="85"/>
      <c r="I5" s="85"/>
    </row>
    <row r="6" customFormat="false" ht="15" hidden="false" customHeight="false" outlineLevel="0" collapsed="false">
      <c r="C6" s="86" t="s">
        <v>155</v>
      </c>
      <c r="D6" s="86"/>
      <c r="E6" s="88"/>
      <c r="F6" s="85" t="s">
        <v>156</v>
      </c>
      <c r="G6" s="85"/>
      <c r="H6" s="85"/>
      <c r="I6" s="85"/>
    </row>
    <row r="7" customFormat="false" ht="15" hidden="false" customHeight="false" outlineLevel="0" collapsed="false">
      <c r="C7" s="86" t="s">
        <v>39</v>
      </c>
      <c r="D7" s="86"/>
      <c r="E7" s="88" t="s">
        <v>157</v>
      </c>
      <c r="F7" s="85" t="s">
        <v>158</v>
      </c>
      <c r="G7" s="85"/>
      <c r="H7" s="85"/>
      <c r="I7" s="85"/>
    </row>
    <row r="8" customFormat="false" ht="15" hidden="false" customHeight="false" outlineLevel="0" collapsed="false">
      <c r="C8" s="86" t="s">
        <v>159</v>
      </c>
      <c r="D8" s="86"/>
      <c r="E8" s="89"/>
      <c r="F8" s="85" t="s">
        <v>160</v>
      </c>
      <c r="G8" s="85"/>
      <c r="H8" s="85"/>
      <c r="I8" s="85"/>
    </row>
    <row r="9" customFormat="false" ht="15" hidden="false" customHeight="false" outlineLevel="0" collapsed="false">
      <c r="C9" s="86" t="s">
        <v>161</v>
      </c>
      <c r="D9" s="86"/>
      <c r="E9" s="89"/>
      <c r="F9" s="85" t="s">
        <v>162</v>
      </c>
      <c r="G9" s="85"/>
      <c r="H9" s="85"/>
      <c r="I9" s="85"/>
    </row>
    <row r="11" customFormat="false" ht="15" hidden="false" customHeight="false" outlineLevel="0" collapsed="false">
      <c r="C11" s="90" t="s">
        <v>163</v>
      </c>
      <c r="D11" s="90"/>
      <c r="E11" s="91" t="n">
        <f aca="false">MAX(Transactions!$H$5:$H$5004)</f>
        <v>0</v>
      </c>
      <c r="F11" s="69" t="str">
        <f aca="false">IF(E11&gt;100,"Showing the first 100 matches - narrow your search to see the rest.",IF(E11=0,"No transactions match these filters.","Showing all matches."))</f>
        <v>No transactions match these filters.</v>
      </c>
      <c r="G11" s="69"/>
      <c r="H11" s="69"/>
      <c r="I11" s="69"/>
    </row>
    <row r="12" customFormat="false" ht="15" hidden="false" customHeight="false" outlineLevel="0" collapsed="false">
      <c r="C12" s="90" t="s">
        <v>164</v>
      </c>
      <c r="D12" s="90"/>
      <c r="E12" s="92" t="n">
        <f aca="false">SUM(Transactions!$I$5:$I$5004)</f>
        <v>0</v>
      </c>
      <c r="F12" s="69"/>
      <c r="G12" s="69"/>
      <c r="H12" s="69"/>
      <c r="I12" s="69"/>
    </row>
    <row r="14" customFormat="false" ht="24" hidden="false" customHeight="true" outlineLevel="0" collapsed="false">
      <c r="B14" s="22" t="s">
        <v>165</v>
      </c>
      <c r="C14" s="22" t="s">
        <v>37</v>
      </c>
      <c r="D14" s="22" t="s">
        <v>36</v>
      </c>
      <c r="E14" s="22" t="s">
        <v>38</v>
      </c>
      <c r="F14" s="22" t="s">
        <v>39</v>
      </c>
      <c r="G14" s="22" t="s">
        <v>40</v>
      </c>
      <c r="H14" s="22" t="s">
        <v>41</v>
      </c>
      <c r="I14" s="22" t="s">
        <v>128</v>
      </c>
    </row>
    <row r="15" customFormat="false" ht="15" hidden="false" customHeight="false" outlineLevel="0" collapsed="false">
      <c r="B15" s="93" t="str">
        <f aca="false">IF($K15="","",1)</f>
        <v/>
      </c>
      <c r="C15" s="94" t="str">
        <f aca="false">IF($K15="","",IF(INDEX(Transactions!$A$5:$A$5004,$K15)="","",INDEX(Transactions!$A$5:$A$5004,$K15)))</f>
        <v/>
      </c>
      <c r="D15" s="95" t="str">
        <f aca="false">IF($K15="","",IF(INDEX(Transactions!$B$5:$B$5004,$K15)="","",INDEX(Transactions!$B$5:$B$5004,$K15)))</f>
        <v/>
      </c>
      <c r="E15" s="96" t="str">
        <f aca="false">IF($K15="","",IF(INDEX(Transactions!$C$5:$C$5004,$K15)="","",INDEX(Transactions!$C$5:$C$5004,$K15)))</f>
        <v/>
      </c>
      <c r="F15" s="96" t="str">
        <f aca="false">IF($K15="","",IF(INDEX(Transactions!$D$5:$D$5004,$K15)="","",INDEX(Transactions!$D$5:$D$5004,$K15)))</f>
        <v/>
      </c>
      <c r="G15" s="97" t="str">
        <f aca="false">IF($K15="","",IF(INDEX(Transactions!$E$5:$E$5004,$K15)="","",INDEX(Transactions!$E$5:$E$5004,$K15)))</f>
        <v/>
      </c>
      <c r="H15" s="96" t="str">
        <f aca="false">IF($K15="","",IF(INDEX(Transactions!$F$5:$F$5004,$K15)="","",INDEX(Transactions!$F$5:$F$5004,$K15)))</f>
        <v/>
      </c>
      <c r="I15" s="96" t="str">
        <f aca="false">IF($K15="","",IF(INDEX(Transactions!$G$5:$G$5004,$K15)="","",INDEX(Transactions!$G$5:$G$5004,$K15)))</f>
        <v/>
      </c>
      <c r="K15" s="98" t="str">
        <f aca="false">IFERROR(MATCH(1,Transactions!$H$5:$H$5004,0),"")</f>
        <v/>
      </c>
    </row>
    <row r="16" customFormat="false" ht="15" hidden="false" customHeight="false" outlineLevel="0" collapsed="false">
      <c r="B16" s="93" t="str">
        <f aca="false">IF($K16="","",2)</f>
        <v/>
      </c>
      <c r="C16" s="94" t="str">
        <f aca="false">IF($K16="","",IF(INDEX(Transactions!$A$5:$A$5004,$K16)="","",INDEX(Transactions!$A$5:$A$5004,$K16)))</f>
        <v/>
      </c>
      <c r="D16" s="95" t="str">
        <f aca="false">IF($K16="","",IF(INDEX(Transactions!$B$5:$B$5004,$K16)="","",INDEX(Transactions!$B$5:$B$5004,$K16)))</f>
        <v/>
      </c>
      <c r="E16" s="96" t="str">
        <f aca="false">IF($K16="","",IF(INDEX(Transactions!$C$5:$C$5004,$K16)="","",INDEX(Transactions!$C$5:$C$5004,$K16)))</f>
        <v/>
      </c>
      <c r="F16" s="96" t="str">
        <f aca="false">IF($K16="","",IF(INDEX(Transactions!$D$5:$D$5004,$K16)="","",INDEX(Transactions!$D$5:$D$5004,$K16)))</f>
        <v/>
      </c>
      <c r="G16" s="97" t="str">
        <f aca="false">IF($K16="","",IF(INDEX(Transactions!$E$5:$E$5004,$K16)="","",INDEX(Transactions!$E$5:$E$5004,$K16)))</f>
        <v/>
      </c>
      <c r="H16" s="96" t="str">
        <f aca="false">IF($K16="","",IF(INDEX(Transactions!$F$5:$F$5004,$K16)="","",INDEX(Transactions!$F$5:$F$5004,$K16)))</f>
        <v/>
      </c>
      <c r="I16" s="96" t="str">
        <f aca="false">IF($K16="","",IF(INDEX(Transactions!$G$5:$G$5004,$K16)="","",INDEX(Transactions!$G$5:$G$5004,$K16)))</f>
        <v/>
      </c>
      <c r="K16" s="98" t="str">
        <f aca="false">IFERROR(MATCH(2,Transactions!$H$5:$H$5004,0),"")</f>
        <v/>
      </c>
    </row>
    <row r="17" customFormat="false" ht="15" hidden="false" customHeight="false" outlineLevel="0" collapsed="false">
      <c r="B17" s="93" t="str">
        <f aca="false">IF($K17="","",3)</f>
        <v/>
      </c>
      <c r="C17" s="94" t="str">
        <f aca="false">IF($K17="","",IF(INDEX(Transactions!$A$5:$A$5004,$K17)="","",INDEX(Transactions!$A$5:$A$5004,$K17)))</f>
        <v/>
      </c>
      <c r="D17" s="95" t="str">
        <f aca="false">IF($K17="","",IF(INDEX(Transactions!$B$5:$B$5004,$K17)="","",INDEX(Transactions!$B$5:$B$5004,$K17)))</f>
        <v/>
      </c>
      <c r="E17" s="96" t="str">
        <f aca="false">IF($K17="","",IF(INDEX(Transactions!$C$5:$C$5004,$K17)="","",INDEX(Transactions!$C$5:$C$5004,$K17)))</f>
        <v/>
      </c>
      <c r="F17" s="96" t="str">
        <f aca="false">IF($K17="","",IF(INDEX(Transactions!$D$5:$D$5004,$K17)="","",INDEX(Transactions!$D$5:$D$5004,$K17)))</f>
        <v/>
      </c>
      <c r="G17" s="97" t="str">
        <f aca="false">IF($K17="","",IF(INDEX(Transactions!$E$5:$E$5004,$K17)="","",INDEX(Transactions!$E$5:$E$5004,$K17)))</f>
        <v/>
      </c>
      <c r="H17" s="96" t="str">
        <f aca="false">IF($K17="","",IF(INDEX(Transactions!$F$5:$F$5004,$K17)="","",INDEX(Transactions!$F$5:$F$5004,$K17)))</f>
        <v/>
      </c>
      <c r="I17" s="96" t="str">
        <f aca="false">IF($K17="","",IF(INDEX(Transactions!$G$5:$G$5004,$K17)="","",INDEX(Transactions!$G$5:$G$5004,$K17)))</f>
        <v/>
      </c>
      <c r="K17" s="98" t="str">
        <f aca="false">IFERROR(MATCH(3,Transactions!$H$5:$H$5004,0),"")</f>
        <v/>
      </c>
    </row>
    <row r="18" customFormat="false" ht="15" hidden="false" customHeight="false" outlineLevel="0" collapsed="false">
      <c r="B18" s="93" t="str">
        <f aca="false">IF($K18="","",4)</f>
        <v/>
      </c>
      <c r="C18" s="94" t="str">
        <f aca="false">IF($K18="","",IF(INDEX(Transactions!$A$5:$A$5004,$K18)="","",INDEX(Transactions!$A$5:$A$5004,$K18)))</f>
        <v/>
      </c>
      <c r="D18" s="95" t="str">
        <f aca="false">IF($K18="","",IF(INDEX(Transactions!$B$5:$B$5004,$K18)="","",INDEX(Transactions!$B$5:$B$5004,$K18)))</f>
        <v/>
      </c>
      <c r="E18" s="96" t="str">
        <f aca="false">IF($K18="","",IF(INDEX(Transactions!$C$5:$C$5004,$K18)="","",INDEX(Transactions!$C$5:$C$5004,$K18)))</f>
        <v/>
      </c>
      <c r="F18" s="96" t="str">
        <f aca="false">IF($K18="","",IF(INDEX(Transactions!$D$5:$D$5004,$K18)="","",INDEX(Transactions!$D$5:$D$5004,$K18)))</f>
        <v/>
      </c>
      <c r="G18" s="97" t="str">
        <f aca="false">IF($K18="","",IF(INDEX(Transactions!$E$5:$E$5004,$K18)="","",INDEX(Transactions!$E$5:$E$5004,$K18)))</f>
        <v/>
      </c>
      <c r="H18" s="96" t="str">
        <f aca="false">IF($K18="","",IF(INDEX(Transactions!$F$5:$F$5004,$K18)="","",INDEX(Transactions!$F$5:$F$5004,$K18)))</f>
        <v/>
      </c>
      <c r="I18" s="96" t="str">
        <f aca="false">IF($K18="","",IF(INDEX(Transactions!$G$5:$G$5004,$K18)="","",INDEX(Transactions!$G$5:$G$5004,$K18)))</f>
        <v/>
      </c>
      <c r="K18" s="98" t="str">
        <f aca="false">IFERROR(MATCH(4,Transactions!$H$5:$H$5004,0),"")</f>
        <v/>
      </c>
    </row>
    <row r="19" customFormat="false" ht="15" hidden="false" customHeight="false" outlineLevel="0" collapsed="false">
      <c r="B19" s="93" t="str">
        <f aca="false">IF($K19="","",5)</f>
        <v/>
      </c>
      <c r="C19" s="94" t="str">
        <f aca="false">IF($K19="","",IF(INDEX(Transactions!$A$5:$A$5004,$K19)="","",INDEX(Transactions!$A$5:$A$5004,$K19)))</f>
        <v/>
      </c>
      <c r="D19" s="95" t="str">
        <f aca="false">IF($K19="","",IF(INDEX(Transactions!$B$5:$B$5004,$K19)="","",INDEX(Transactions!$B$5:$B$5004,$K19)))</f>
        <v/>
      </c>
      <c r="E19" s="96" t="str">
        <f aca="false">IF($K19="","",IF(INDEX(Transactions!$C$5:$C$5004,$K19)="","",INDEX(Transactions!$C$5:$C$5004,$K19)))</f>
        <v/>
      </c>
      <c r="F19" s="96" t="str">
        <f aca="false">IF($K19="","",IF(INDEX(Transactions!$D$5:$D$5004,$K19)="","",INDEX(Transactions!$D$5:$D$5004,$K19)))</f>
        <v/>
      </c>
      <c r="G19" s="97" t="str">
        <f aca="false">IF($K19="","",IF(INDEX(Transactions!$E$5:$E$5004,$K19)="","",INDEX(Transactions!$E$5:$E$5004,$K19)))</f>
        <v/>
      </c>
      <c r="H19" s="96" t="str">
        <f aca="false">IF($K19="","",IF(INDEX(Transactions!$F$5:$F$5004,$K19)="","",INDEX(Transactions!$F$5:$F$5004,$K19)))</f>
        <v/>
      </c>
      <c r="I19" s="96" t="str">
        <f aca="false">IF($K19="","",IF(INDEX(Transactions!$G$5:$G$5004,$K19)="","",INDEX(Transactions!$G$5:$G$5004,$K19)))</f>
        <v/>
      </c>
      <c r="K19" s="98" t="str">
        <f aca="false">IFERROR(MATCH(5,Transactions!$H$5:$H$5004,0),"")</f>
        <v/>
      </c>
    </row>
    <row r="20" customFormat="false" ht="15" hidden="false" customHeight="false" outlineLevel="0" collapsed="false">
      <c r="B20" s="93" t="str">
        <f aca="false">IF($K20="","",6)</f>
        <v/>
      </c>
      <c r="C20" s="94" t="str">
        <f aca="false">IF($K20="","",IF(INDEX(Transactions!$A$5:$A$5004,$K20)="","",INDEX(Transactions!$A$5:$A$5004,$K20)))</f>
        <v/>
      </c>
      <c r="D20" s="95" t="str">
        <f aca="false">IF($K20="","",IF(INDEX(Transactions!$B$5:$B$5004,$K20)="","",INDEX(Transactions!$B$5:$B$5004,$K20)))</f>
        <v/>
      </c>
      <c r="E20" s="96" t="str">
        <f aca="false">IF($K20="","",IF(INDEX(Transactions!$C$5:$C$5004,$K20)="","",INDEX(Transactions!$C$5:$C$5004,$K20)))</f>
        <v/>
      </c>
      <c r="F20" s="96" t="str">
        <f aca="false">IF($K20="","",IF(INDEX(Transactions!$D$5:$D$5004,$K20)="","",INDEX(Transactions!$D$5:$D$5004,$K20)))</f>
        <v/>
      </c>
      <c r="G20" s="97" t="str">
        <f aca="false">IF($K20="","",IF(INDEX(Transactions!$E$5:$E$5004,$K20)="","",INDEX(Transactions!$E$5:$E$5004,$K20)))</f>
        <v/>
      </c>
      <c r="H20" s="96" t="str">
        <f aca="false">IF($K20="","",IF(INDEX(Transactions!$F$5:$F$5004,$K20)="","",INDEX(Transactions!$F$5:$F$5004,$K20)))</f>
        <v/>
      </c>
      <c r="I20" s="96" t="str">
        <f aca="false">IF($K20="","",IF(INDEX(Transactions!$G$5:$G$5004,$K20)="","",INDEX(Transactions!$G$5:$G$5004,$K20)))</f>
        <v/>
      </c>
      <c r="K20" s="98" t="str">
        <f aca="false">IFERROR(MATCH(6,Transactions!$H$5:$H$5004,0),"")</f>
        <v/>
      </c>
    </row>
    <row r="21" customFormat="false" ht="15" hidden="false" customHeight="false" outlineLevel="0" collapsed="false">
      <c r="B21" s="93" t="str">
        <f aca="false">IF($K21="","",7)</f>
        <v/>
      </c>
      <c r="C21" s="94" t="str">
        <f aca="false">IF($K21="","",IF(INDEX(Transactions!$A$5:$A$5004,$K21)="","",INDEX(Transactions!$A$5:$A$5004,$K21)))</f>
        <v/>
      </c>
      <c r="D21" s="95" t="str">
        <f aca="false">IF($K21="","",IF(INDEX(Transactions!$B$5:$B$5004,$K21)="","",INDEX(Transactions!$B$5:$B$5004,$K21)))</f>
        <v/>
      </c>
      <c r="E21" s="96" t="str">
        <f aca="false">IF($K21="","",IF(INDEX(Transactions!$C$5:$C$5004,$K21)="","",INDEX(Transactions!$C$5:$C$5004,$K21)))</f>
        <v/>
      </c>
      <c r="F21" s="96" t="str">
        <f aca="false">IF($K21="","",IF(INDEX(Transactions!$D$5:$D$5004,$K21)="","",INDEX(Transactions!$D$5:$D$5004,$K21)))</f>
        <v/>
      </c>
      <c r="G21" s="97" t="str">
        <f aca="false">IF($K21="","",IF(INDEX(Transactions!$E$5:$E$5004,$K21)="","",INDEX(Transactions!$E$5:$E$5004,$K21)))</f>
        <v/>
      </c>
      <c r="H21" s="96" t="str">
        <f aca="false">IF($K21="","",IF(INDEX(Transactions!$F$5:$F$5004,$K21)="","",INDEX(Transactions!$F$5:$F$5004,$K21)))</f>
        <v/>
      </c>
      <c r="I21" s="96" t="str">
        <f aca="false">IF($K21="","",IF(INDEX(Transactions!$G$5:$G$5004,$K21)="","",INDEX(Transactions!$G$5:$G$5004,$K21)))</f>
        <v/>
      </c>
      <c r="K21" s="98" t="str">
        <f aca="false">IFERROR(MATCH(7,Transactions!$H$5:$H$5004,0),"")</f>
        <v/>
      </c>
    </row>
    <row r="22" customFormat="false" ht="15" hidden="false" customHeight="false" outlineLevel="0" collapsed="false">
      <c r="B22" s="93" t="str">
        <f aca="false">IF($K22="","",8)</f>
        <v/>
      </c>
      <c r="C22" s="94" t="str">
        <f aca="false">IF($K22="","",IF(INDEX(Transactions!$A$5:$A$5004,$K22)="","",INDEX(Transactions!$A$5:$A$5004,$K22)))</f>
        <v/>
      </c>
      <c r="D22" s="95" t="str">
        <f aca="false">IF($K22="","",IF(INDEX(Transactions!$B$5:$B$5004,$K22)="","",INDEX(Transactions!$B$5:$B$5004,$K22)))</f>
        <v/>
      </c>
      <c r="E22" s="96" t="str">
        <f aca="false">IF($K22="","",IF(INDEX(Transactions!$C$5:$C$5004,$K22)="","",INDEX(Transactions!$C$5:$C$5004,$K22)))</f>
        <v/>
      </c>
      <c r="F22" s="96" t="str">
        <f aca="false">IF($K22="","",IF(INDEX(Transactions!$D$5:$D$5004,$K22)="","",INDEX(Transactions!$D$5:$D$5004,$K22)))</f>
        <v/>
      </c>
      <c r="G22" s="97" t="str">
        <f aca="false">IF($K22="","",IF(INDEX(Transactions!$E$5:$E$5004,$K22)="","",INDEX(Transactions!$E$5:$E$5004,$K22)))</f>
        <v/>
      </c>
      <c r="H22" s="96" t="str">
        <f aca="false">IF($K22="","",IF(INDEX(Transactions!$F$5:$F$5004,$K22)="","",INDEX(Transactions!$F$5:$F$5004,$K22)))</f>
        <v/>
      </c>
      <c r="I22" s="96" t="str">
        <f aca="false">IF($K22="","",IF(INDEX(Transactions!$G$5:$G$5004,$K22)="","",INDEX(Transactions!$G$5:$G$5004,$K22)))</f>
        <v/>
      </c>
      <c r="K22" s="98" t="str">
        <f aca="false">IFERROR(MATCH(8,Transactions!$H$5:$H$5004,0),"")</f>
        <v/>
      </c>
    </row>
    <row r="23" customFormat="false" ht="15" hidden="false" customHeight="false" outlineLevel="0" collapsed="false">
      <c r="B23" s="93" t="str">
        <f aca="false">IF($K23="","",9)</f>
        <v/>
      </c>
      <c r="C23" s="94" t="str">
        <f aca="false">IF($K23="","",IF(INDEX(Transactions!$A$5:$A$5004,$K23)="","",INDEX(Transactions!$A$5:$A$5004,$K23)))</f>
        <v/>
      </c>
      <c r="D23" s="95" t="str">
        <f aca="false">IF($K23="","",IF(INDEX(Transactions!$B$5:$B$5004,$K23)="","",INDEX(Transactions!$B$5:$B$5004,$K23)))</f>
        <v/>
      </c>
      <c r="E23" s="96" t="str">
        <f aca="false">IF($K23="","",IF(INDEX(Transactions!$C$5:$C$5004,$K23)="","",INDEX(Transactions!$C$5:$C$5004,$K23)))</f>
        <v/>
      </c>
      <c r="F23" s="96" t="str">
        <f aca="false">IF($K23="","",IF(INDEX(Transactions!$D$5:$D$5004,$K23)="","",INDEX(Transactions!$D$5:$D$5004,$K23)))</f>
        <v/>
      </c>
      <c r="G23" s="97" t="str">
        <f aca="false">IF($K23="","",IF(INDEX(Transactions!$E$5:$E$5004,$K23)="","",INDEX(Transactions!$E$5:$E$5004,$K23)))</f>
        <v/>
      </c>
      <c r="H23" s="96" t="str">
        <f aca="false">IF($K23="","",IF(INDEX(Transactions!$F$5:$F$5004,$K23)="","",INDEX(Transactions!$F$5:$F$5004,$K23)))</f>
        <v/>
      </c>
      <c r="I23" s="96" t="str">
        <f aca="false">IF($K23="","",IF(INDEX(Transactions!$G$5:$G$5004,$K23)="","",INDEX(Transactions!$G$5:$G$5004,$K23)))</f>
        <v/>
      </c>
      <c r="K23" s="98" t="str">
        <f aca="false">IFERROR(MATCH(9,Transactions!$H$5:$H$5004,0),"")</f>
        <v/>
      </c>
    </row>
    <row r="24" customFormat="false" ht="15" hidden="false" customHeight="false" outlineLevel="0" collapsed="false">
      <c r="B24" s="93" t="str">
        <f aca="false">IF($K24="","",10)</f>
        <v/>
      </c>
      <c r="C24" s="94" t="str">
        <f aca="false">IF($K24="","",IF(INDEX(Transactions!$A$5:$A$5004,$K24)="","",INDEX(Transactions!$A$5:$A$5004,$K24)))</f>
        <v/>
      </c>
      <c r="D24" s="95" t="str">
        <f aca="false">IF($K24="","",IF(INDEX(Transactions!$B$5:$B$5004,$K24)="","",INDEX(Transactions!$B$5:$B$5004,$K24)))</f>
        <v/>
      </c>
      <c r="E24" s="96" t="str">
        <f aca="false">IF($K24="","",IF(INDEX(Transactions!$C$5:$C$5004,$K24)="","",INDEX(Transactions!$C$5:$C$5004,$K24)))</f>
        <v/>
      </c>
      <c r="F24" s="96" t="str">
        <f aca="false">IF($K24="","",IF(INDEX(Transactions!$D$5:$D$5004,$K24)="","",INDEX(Transactions!$D$5:$D$5004,$K24)))</f>
        <v/>
      </c>
      <c r="G24" s="97" t="str">
        <f aca="false">IF($K24="","",IF(INDEX(Transactions!$E$5:$E$5004,$K24)="","",INDEX(Transactions!$E$5:$E$5004,$K24)))</f>
        <v/>
      </c>
      <c r="H24" s="96" t="str">
        <f aca="false">IF($K24="","",IF(INDEX(Transactions!$F$5:$F$5004,$K24)="","",INDEX(Transactions!$F$5:$F$5004,$K24)))</f>
        <v/>
      </c>
      <c r="I24" s="96" t="str">
        <f aca="false">IF($K24="","",IF(INDEX(Transactions!$G$5:$G$5004,$K24)="","",INDEX(Transactions!$G$5:$G$5004,$K24)))</f>
        <v/>
      </c>
      <c r="K24" s="98" t="str">
        <f aca="false">IFERROR(MATCH(10,Transactions!$H$5:$H$5004,0),"")</f>
        <v/>
      </c>
    </row>
    <row r="25" customFormat="false" ht="15" hidden="false" customHeight="false" outlineLevel="0" collapsed="false">
      <c r="B25" s="93" t="str">
        <f aca="false">IF($K25="","",11)</f>
        <v/>
      </c>
      <c r="C25" s="94" t="str">
        <f aca="false">IF($K25="","",IF(INDEX(Transactions!$A$5:$A$5004,$K25)="","",INDEX(Transactions!$A$5:$A$5004,$K25)))</f>
        <v/>
      </c>
      <c r="D25" s="95" t="str">
        <f aca="false">IF($K25="","",IF(INDEX(Transactions!$B$5:$B$5004,$K25)="","",INDEX(Transactions!$B$5:$B$5004,$K25)))</f>
        <v/>
      </c>
      <c r="E25" s="96" t="str">
        <f aca="false">IF($K25="","",IF(INDEX(Transactions!$C$5:$C$5004,$K25)="","",INDEX(Transactions!$C$5:$C$5004,$K25)))</f>
        <v/>
      </c>
      <c r="F25" s="96" t="str">
        <f aca="false">IF($K25="","",IF(INDEX(Transactions!$D$5:$D$5004,$K25)="","",INDEX(Transactions!$D$5:$D$5004,$K25)))</f>
        <v/>
      </c>
      <c r="G25" s="97" t="str">
        <f aca="false">IF($K25="","",IF(INDEX(Transactions!$E$5:$E$5004,$K25)="","",INDEX(Transactions!$E$5:$E$5004,$K25)))</f>
        <v/>
      </c>
      <c r="H25" s="96" t="str">
        <f aca="false">IF($K25="","",IF(INDEX(Transactions!$F$5:$F$5004,$K25)="","",INDEX(Transactions!$F$5:$F$5004,$K25)))</f>
        <v/>
      </c>
      <c r="I25" s="96" t="str">
        <f aca="false">IF($K25="","",IF(INDEX(Transactions!$G$5:$G$5004,$K25)="","",INDEX(Transactions!$G$5:$G$5004,$K25)))</f>
        <v/>
      </c>
      <c r="K25" s="98" t="str">
        <f aca="false">IFERROR(MATCH(11,Transactions!$H$5:$H$5004,0),"")</f>
        <v/>
      </c>
    </row>
    <row r="26" customFormat="false" ht="15" hidden="false" customHeight="false" outlineLevel="0" collapsed="false">
      <c r="B26" s="93" t="str">
        <f aca="false">IF($K26="","",12)</f>
        <v/>
      </c>
      <c r="C26" s="94" t="str">
        <f aca="false">IF($K26="","",IF(INDEX(Transactions!$A$5:$A$5004,$K26)="","",INDEX(Transactions!$A$5:$A$5004,$K26)))</f>
        <v/>
      </c>
      <c r="D26" s="95" t="str">
        <f aca="false">IF($K26="","",IF(INDEX(Transactions!$B$5:$B$5004,$K26)="","",INDEX(Transactions!$B$5:$B$5004,$K26)))</f>
        <v/>
      </c>
      <c r="E26" s="96" t="str">
        <f aca="false">IF($K26="","",IF(INDEX(Transactions!$C$5:$C$5004,$K26)="","",INDEX(Transactions!$C$5:$C$5004,$K26)))</f>
        <v/>
      </c>
      <c r="F26" s="96" t="str">
        <f aca="false">IF($K26="","",IF(INDEX(Transactions!$D$5:$D$5004,$K26)="","",INDEX(Transactions!$D$5:$D$5004,$K26)))</f>
        <v/>
      </c>
      <c r="G26" s="97" t="str">
        <f aca="false">IF($K26="","",IF(INDEX(Transactions!$E$5:$E$5004,$K26)="","",INDEX(Transactions!$E$5:$E$5004,$K26)))</f>
        <v/>
      </c>
      <c r="H26" s="96" t="str">
        <f aca="false">IF($K26="","",IF(INDEX(Transactions!$F$5:$F$5004,$K26)="","",INDEX(Transactions!$F$5:$F$5004,$K26)))</f>
        <v/>
      </c>
      <c r="I26" s="96" t="str">
        <f aca="false">IF($K26="","",IF(INDEX(Transactions!$G$5:$G$5004,$K26)="","",INDEX(Transactions!$G$5:$G$5004,$K26)))</f>
        <v/>
      </c>
      <c r="K26" s="98" t="str">
        <f aca="false">IFERROR(MATCH(12,Transactions!$H$5:$H$5004,0),"")</f>
        <v/>
      </c>
    </row>
    <row r="27" customFormat="false" ht="15" hidden="false" customHeight="false" outlineLevel="0" collapsed="false">
      <c r="B27" s="93" t="str">
        <f aca="false">IF($K27="","",13)</f>
        <v/>
      </c>
      <c r="C27" s="94" t="str">
        <f aca="false">IF($K27="","",IF(INDEX(Transactions!$A$5:$A$5004,$K27)="","",INDEX(Transactions!$A$5:$A$5004,$K27)))</f>
        <v/>
      </c>
      <c r="D27" s="95" t="str">
        <f aca="false">IF($K27="","",IF(INDEX(Transactions!$B$5:$B$5004,$K27)="","",INDEX(Transactions!$B$5:$B$5004,$K27)))</f>
        <v/>
      </c>
      <c r="E27" s="96" t="str">
        <f aca="false">IF($K27="","",IF(INDEX(Transactions!$C$5:$C$5004,$K27)="","",INDEX(Transactions!$C$5:$C$5004,$K27)))</f>
        <v/>
      </c>
      <c r="F27" s="96" t="str">
        <f aca="false">IF($K27="","",IF(INDEX(Transactions!$D$5:$D$5004,$K27)="","",INDEX(Transactions!$D$5:$D$5004,$K27)))</f>
        <v/>
      </c>
      <c r="G27" s="97" t="str">
        <f aca="false">IF($K27="","",IF(INDEX(Transactions!$E$5:$E$5004,$K27)="","",INDEX(Transactions!$E$5:$E$5004,$K27)))</f>
        <v/>
      </c>
      <c r="H27" s="96" t="str">
        <f aca="false">IF($K27="","",IF(INDEX(Transactions!$F$5:$F$5004,$K27)="","",INDEX(Transactions!$F$5:$F$5004,$K27)))</f>
        <v/>
      </c>
      <c r="I27" s="96" t="str">
        <f aca="false">IF($K27="","",IF(INDEX(Transactions!$G$5:$G$5004,$K27)="","",INDEX(Transactions!$G$5:$G$5004,$K27)))</f>
        <v/>
      </c>
      <c r="K27" s="98" t="str">
        <f aca="false">IFERROR(MATCH(13,Transactions!$H$5:$H$5004,0),"")</f>
        <v/>
      </c>
    </row>
    <row r="28" customFormat="false" ht="15" hidden="false" customHeight="false" outlineLevel="0" collapsed="false">
      <c r="B28" s="93" t="str">
        <f aca="false">IF($K28="","",14)</f>
        <v/>
      </c>
      <c r="C28" s="94" t="str">
        <f aca="false">IF($K28="","",IF(INDEX(Transactions!$A$5:$A$5004,$K28)="","",INDEX(Transactions!$A$5:$A$5004,$K28)))</f>
        <v/>
      </c>
      <c r="D28" s="95" t="str">
        <f aca="false">IF($K28="","",IF(INDEX(Transactions!$B$5:$B$5004,$K28)="","",INDEX(Transactions!$B$5:$B$5004,$K28)))</f>
        <v/>
      </c>
      <c r="E28" s="96" t="str">
        <f aca="false">IF($K28="","",IF(INDEX(Transactions!$C$5:$C$5004,$K28)="","",INDEX(Transactions!$C$5:$C$5004,$K28)))</f>
        <v/>
      </c>
      <c r="F28" s="96" t="str">
        <f aca="false">IF($K28="","",IF(INDEX(Transactions!$D$5:$D$5004,$K28)="","",INDEX(Transactions!$D$5:$D$5004,$K28)))</f>
        <v/>
      </c>
      <c r="G28" s="97" t="str">
        <f aca="false">IF($K28="","",IF(INDEX(Transactions!$E$5:$E$5004,$K28)="","",INDEX(Transactions!$E$5:$E$5004,$K28)))</f>
        <v/>
      </c>
      <c r="H28" s="96" t="str">
        <f aca="false">IF($K28="","",IF(INDEX(Transactions!$F$5:$F$5004,$K28)="","",INDEX(Transactions!$F$5:$F$5004,$K28)))</f>
        <v/>
      </c>
      <c r="I28" s="96" t="str">
        <f aca="false">IF($K28="","",IF(INDEX(Transactions!$G$5:$G$5004,$K28)="","",INDEX(Transactions!$G$5:$G$5004,$K28)))</f>
        <v/>
      </c>
      <c r="K28" s="98" t="str">
        <f aca="false">IFERROR(MATCH(14,Transactions!$H$5:$H$5004,0),"")</f>
        <v/>
      </c>
    </row>
    <row r="29" customFormat="false" ht="15" hidden="false" customHeight="false" outlineLevel="0" collapsed="false">
      <c r="B29" s="93" t="str">
        <f aca="false">IF($K29="","",15)</f>
        <v/>
      </c>
      <c r="C29" s="94" t="str">
        <f aca="false">IF($K29="","",IF(INDEX(Transactions!$A$5:$A$5004,$K29)="","",INDEX(Transactions!$A$5:$A$5004,$K29)))</f>
        <v/>
      </c>
      <c r="D29" s="95" t="str">
        <f aca="false">IF($K29="","",IF(INDEX(Transactions!$B$5:$B$5004,$K29)="","",INDEX(Transactions!$B$5:$B$5004,$K29)))</f>
        <v/>
      </c>
      <c r="E29" s="96" t="str">
        <f aca="false">IF($K29="","",IF(INDEX(Transactions!$C$5:$C$5004,$K29)="","",INDEX(Transactions!$C$5:$C$5004,$K29)))</f>
        <v/>
      </c>
      <c r="F29" s="96" t="str">
        <f aca="false">IF($K29="","",IF(INDEX(Transactions!$D$5:$D$5004,$K29)="","",INDEX(Transactions!$D$5:$D$5004,$K29)))</f>
        <v/>
      </c>
      <c r="G29" s="97" t="str">
        <f aca="false">IF($K29="","",IF(INDEX(Transactions!$E$5:$E$5004,$K29)="","",INDEX(Transactions!$E$5:$E$5004,$K29)))</f>
        <v/>
      </c>
      <c r="H29" s="96" t="str">
        <f aca="false">IF($K29="","",IF(INDEX(Transactions!$F$5:$F$5004,$K29)="","",INDEX(Transactions!$F$5:$F$5004,$K29)))</f>
        <v/>
      </c>
      <c r="I29" s="96" t="str">
        <f aca="false">IF($K29="","",IF(INDEX(Transactions!$G$5:$G$5004,$K29)="","",INDEX(Transactions!$G$5:$G$5004,$K29)))</f>
        <v/>
      </c>
      <c r="K29" s="98" t="str">
        <f aca="false">IFERROR(MATCH(15,Transactions!$H$5:$H$5004,0),"")</f>
        <v/>
      </c>
    </row>
    <row r="30" customFormat="false" ht="15" hidden="false" customHeight="false" outlineLevel="0" collapsed="false">
      <c r="B30" s="93" t="str">
        <f aca="false">IF($K30="","",16)</f>
        <v/>
      </c>
      <c r="C30" s="94" t="str">
        <f aca="false">IF($K30="","",IF(INDEX(Transactions!$A$5:$A$5004,$K30)="","",INDEX(Transactions!$A$5:$A$5004,$K30)))</f>
        <v/>
      </c>
      <c r="D30" s="95" t="str">
        <f aca="false">IF($K30="","",IF(INDEX(Transactions!$B$5:$B$5004,$K30)="","",INDEX(Transactions!$B$5:$B$5004,$K30)))</f>
        <v/>
      </c>
      <c r="E30" s="96" t="str">
        <f aca="false">IF($K30="","",IF(INDEX(Transactions!$C$5:$C$5004,$K30)="","",INDEX(Transactions!$C$5:$C$5004,$K30)))</f>
        <v/>
      </c>
      <c r="F30" s="96" t="str">
        <f aca="false">IF($K30="","",IF(INDEX(Transactions!$D$5:$D$5004,$K30)="","",INDEX(Transactions!$D$5:$D$5004,$K30)))</f>
        <v/>
      </c>
      <c r="G30" s="97" t="str">
        <f aca="false">IF($K30="","",IF(INDEX(Transactions!$E$5:$E$5004,$K30)="","",INDEX(Transactions!$E$5:$E$5004,$K30)))</f>
        <v/>
      </c>
      <c r="H30" s="96" t="str">
        <f aca="false">IF($K30="","",IF(INDEX(Transactions!$F$5:$F$5004,$K30)="","",INDEX(Transactions!$F$5:$F$5004,$K30)))</f>
        <v/>
      </c>
      <c r="I30" s="96" t="str">
        <f aca="false">IF($K30="","",IF(INDEX(Transactions!$G$5:$G$5004,$K30)="","",INDEX(Transactions!$G$5:$G$5004,$K30)))</f>
        <v/>
      </c>
      <c r="K30" s="98" t="str">
        <f aca="false">IFERROR(MATCH(16,Transactions!$H$5:$H$5004,0),"")</f>
        <v/>
      </c>
    </row>
    <row r="31" customFormat="false" ht="15" hidden="false" customHeight="false" outlineLevel="0" collapsed="false">
      <c r="B31" s="93" t="str">
        <f aca="false">IF($K31="","",17)</f>
        <v/>
      </c>
      <c r="C31" s="94" t="str">
        <f aca="false">IF($K31="","",IF(INDEX(Transactions!$A$5:$A$5004,$K31)="","",INDEX(Transactions!$A$5:$A$5004,$K31)))</f>
        <v/>
      </c>
      <c r="D31" s="95" t="str">
        <f aca="false">IF($K31="","",IF(INDEX(Transactions!$B$5:$B$5004,$K31)="","",INDEX(Transactions!$B$5:$B$5004,$K31)))</f>
        <v/>
      </c>
      <c r="E31" s="96" t="str">
        <f aca="false">IF($K31="","",IF(INDEX(Transactions!$C$5:$C$5004,$K31)="","",INDEX(Transactions!$C$5:$C$5004,$K31)))</f>
        <v/>
      </c>
      <c r="F31" s="96" t="str">
        <f aca="false">IF($K31="","",IF(INDEX(Transactions!$D$5:$D$5004,$K31)="","",INDEX(Transactions!$D$5:$D$5004,$K31)))</f>
        <v/>
      </c>
      <c r="G31" s="97" t="str">
        <f aca="false">IF($K31="","",IF(INDEX(Transactions!$E$5:$E$5004,$K31)="","",INDEX(Transactions!$E$5:$E$5004,$K31)))</f>
        <v/>
      </c>
      <c r="H31" s="96" t="str">
        <f aca="false">IF($K31="","",IF(INDEX(Transactions!$F$5:$F$5004,$K31)="","",INDEX(Transactions!$F$5:$F$5004,$K31)))</f>
        <v/>
      </c>
      <c r="I31" s="96" t="str">
        <f aca="false">IF($K31="","",IF(INDEX(Transactions!$G$5:$G$5004,$K31)="","",INDEX(Transactions!$G$5:$G$5004,$K31)))</f>
        <v/>
      </c>
      <c r="K31" s="98" t="str">
        <f aca="false">IFERROR(MATCH(17,Transactions!$H$5:$H$5004,0),"")</f>
        <v/>
      </c>
    </row>
    <row r="32" customFormat="false" ht="15" hidden="false" customHeight="false" outlineLevel="0" collapsed="false">
      <c r="B32" s="93" t="str">
        <f aca="false">IF($K32="","",18)</f>
        <v/>
      </c>
      <c r="C32" s="94" t="str">
        <f aca="false">IF($K32="","",IF(INDEX(Transactions!$A$5:$A$5004,$K32)="","",INDEX(Transactions!$A$5:$A$5004,$K32)))</f>
        <v/>
      </c>
      <c r="D32" s="95" t="str">
        <f aca="false">IF($K32="","",IF(INDEX(Transactions!$B$5:$B$5004,$K32)="","",INDEX(Transactions!$B$5:$B$5004,$K32)))</f>
        <v/>
      </c>
      <c r="E32" s="96" t="str">
        <f aca="false">IF($K32="","",IF(INDEX(Transactions!$C$5:$C$5004,$K32)="","",INDEX(Transactions!$C$5:$C$5004,$K32)))</f>
        <v/>
      </c>
      <c r="F32" s="96" t="str">
        <f aca="false">IF($K32="","",IF(INDEX(Transactions!$D$5:$D$5004,$K32)="","",INDEX(Transactions!$D$5:$D$5004,$K32)))</f>
        <v/>
      </c>
      <c r="G32" s="97" t="str">
        <f aca="false">IF($K32="","",IF(INDEX(Transactions!$E$5:$E$5004,$K32)="","",INDEX(Transactions!$E$5:$E$5004,$K32)))</f>
        <v/>
      </c>
      <c r="H32" s="96" t="str">
        <f aca="false">IF($K32="","",IF(INDEX(Transactions!$F$5:$F$5004,$K32)="","",INDEX(Transactions!$F$5:$F$5004,$K32)))</f>
        <v/>
      </c>
      <c r="I32" s="96" t="str">
        <f aca="false">IF($K32="","",IF(INDEX(Transactions!$G$5:$G$5004,$K32)="","",INDEX(Transactions!$G$5:$G$5004,$K32)))</f>
        <v/>
      </c>
      <c r="K32" s="98" t="str">
        <f aca="false">IFERROR(MATCH(18,Transactions!$H$5:$H$5004,0),"")</f>
        <v/>
      </c>
    </row>
    <row r="33" customFormat="false" ht="15" hidden="false" customHeight="false" outlineLevel="0" collapsed="false">
      <c r="B33" s="93" t="str">
        <f aca="false">IF($K33="","",19)</f>
        <v/>
      </c>
      <c r="C33" s="94" t="str">
        <f aca="false">IF($K33="","",IF(INDEX(Transactions!$A$5:$A$5004,$K33)="","",INDEX(Transactions!$A$5:$A$5004,$K33)))</f>
        <v/>
      </c>
      <c r="D33" s="95" t="str">
        <f aca="false">IF($K33="","",IF(INDEX(Transactions!$B$5:$B$5004,$K33)="","",INDEX(Transactions!$B$5:$B$5004,$K33)))</f>
        <v/>
      </c>
      <c r="E33" s="96" t="str">
        <f aca="false">IF($K33="","",IF(INDEX(Transactions!$C$5:$C$5004,$K33)="","",INDEX(Transactions!$C$5:$C$5004,$K33)))</f>
        <v/>
      </c>
      <c r="F33" s="96" t="str">
        <f aca="false">IF($K33="","",IF(INDEX(Transactions!$D$5:$D$5004,$K33)="","",INDEX(Transactions!$D$5:$D$5004,$K33)))</f>
        <v/>
      </c>
      <c r="G33" s="97" t="str">
        <f aca="false">IF($K33="","",IF(INDEX(Transactions!$E$5:$E$5004,$K33)="","",INDEX(Transactions!$E$5:$E$5004,$K33)))</f>
        <v/>
      </c>
      <c r="H33" s="96" t="str">
        <f aca="false">IF($K33="","",IF(INDEX(Transactions!$F$5:$F$5004,$K33)="","",INDEX(Transactions!$F$5:$F$5004,$K33)))</f>
        <v/>
      </c>
      <c r="I33" s="96" t="str">
        <f aca="false">IF($K33="","",IF(INDEX(Transactions!$G$5:$G$5004,$K33)="","",INDEX(Transactions!$G$5:$G$5004,$K33)))</f>
        <v/>
      </c>
      <c r="K33" s="98" t="str">
        <f aca="false">IFERROR(MATCH(19,Transactions!$H$5:$H$5004,0),"")</f>
        <v/>
      </c>
    </row>
    <row r="34" customFormat="false" ht="15" hidden="false" customHeight="false" outlineLevel="0" collapsed="false">
      <c r="B34" s="93" t="str">
        <f aca="false">IF($K34="","",20)</f>
        <v/>
      </c>
      <c r="C34" s="94" t="str">
        <f aca="false">IF($K34="","",IF(INDEX(Transactions!$A$5:$A$5004,$K34)="","",INDEX(Transactions!$A$5:$A$5004,$K34)))</f>
        <v/>
      </c>
      <c r="D34" s="95" t="str">
        <f aca="false">IF($K34="","",IF(INDEX(Transactions!$B$5:$B$5004,$K34)="","",INDEX(Transactions!$B$5:$B$5004,$K34)))</f>
        <v/>
      </c>
      <c r="E34" s="96" t="str">
        <f aca="false">IF($K34="","",IF(INDEX(Transactions!$C$5:$C$5004,$K34)="","",INDEX(Transactions!$C$5:$C$5004,$K34)))</f>
        <v/>
      </c>
      <c r="F34" s="96" t="str">
        <f aca="false">IF($K34="","",IF(INDEX(Transactions!$D$5:$D$5004,$K34)="","",INDEX(Transactions!$D$5:$D$5004,$K34)))</f>
        <v/>
      </c>
      <c r="G34" s="97" t="str">
        <f aca="false">IF($K34="","",IF(INDEX(Transactions!$E$5:$E$5004,$K34)="","",INDEX(Transactions!$E$5:$E$5004,$K34)))</f>
        <v/>
      </c>
      <c r="H34" s="96" t="str">
        <f aca="false">IF($K34="","",IF(INDEX(Transactions!$F$5:$F$5004,$K34)="","",INDEX(Transactions!$F$5:$F$5004,$K34)))</f>
        <v/>
      </c>
      <c r="I34" s="96" t="str">
        <f aca="false">IF($K34="","",IF(INDEX(Transactions!$G$5:$G$5004,$K34)="","",INDEX(Transactions!$G$5:$G$5004,$K34)))</f>
        <v/>
      </c>
      <c r="K34" s="98" t="str">
        <f aca="false">IFERROR(MATCH(20,Transactions!$H$5:$H$5004,0),"")</f>
        <v/>
      </c>
    </row>
    <row r="35" customFormat="false" ht="15" hidden="false" customHeight="false" outlineLevel="0" collapsed="false">
      <c r="B35" s="93" t="str">
        <f aca="false">IF($K35="","",21)</f>
        <v/>
      </c>
      <c r="C35" s="94" t="str">
        <f aca="false">IF($K35="","",IF(INDEX(Transactions!$A$5:$A$5004,$K35)="","",INDEX(Transactions!$A$5:$A$5004,$K35)))</f>
        <v/>
      </c>
      <c r="D35" s="95" t="str">
        <f aca="false">IF($K35="","",IF(INDEX(Transactions!$B$5:$B$5004,$K35)="","",INDEX(Transactions!$B$5:$B$5004,$K35)))</f>
        <v/>
      </c>
      <c r="E35" s="96" t="str">
        <f aca="false">IF($K35="","",IF(INDEX(Transactions!$C$5:$C$5004,$K35)="","",INDEX(Transactions!$C$5:$C$5004,$K35)))</f>
        <v/>
      </c>
      <c r="F35" s="96" t="str">
        <f aca="false">IF($K35="","",IF(INDEX(Transactions!$D$5:$D$5004,$K35)="","",INDEX(Transactions!$D$5:$D$5004,$K35)))</f>
        <v/>
      </c>
      <c r="G35" s="97" t="str">
        <f aca="false">IF($K35="","",IF(INDEX(Transactions!$E$5:$E$5004,$K35)="","",INDEX(Transactions!$E$5:$E$5004,$K35)))</f>
        <v/>
      </c>
      <c r="H35" s="96" t="str">
        <f aca="false">IF($K35="","",IF(INDEX(Transactions!$F$5:$F$5004,$K35)="","",INDEX(Transactions!$F$5:$F$5004,$K35)))</f>
        <v/>
      </c>
      <c r="I35" s="96" t="str">
        <f aca="false">IF($K35="","",IF(INDEX(Transactions!$G$5:$G$5004,$K35)="","",INDEX(Transactions!$G$5:$G$5004,$K35)))</f>
        <v/>
      </c>
      <c r="K35" s="98" t="str">
        <f aca="false">IFERROR(MATCH(21,Transactions!$H$5:$H$5004,0),"")</f>
        <v/>
      </c>
    </row>
    <row r="36" customFormat="false" ht="15" hidden="false" customHeight="false" outlineLevel="0" collapsed="false">
      <c r="B36" s="93" t="str">
        <f aca="false">IF($K36="","",22)</f>
        <v/>
      </c>
      <c r="C36" s="94" t="str">
        <f aca="false">IF($K36="","",IF(INDEX(Transactions!$A$5:$A$5004,$K36)="","",INDEX(Transactions!$A$5:$A$5004,$K36)))</f>
        <v/>
      </c>
      <c r="D36" s="95" t="str">
        <f aca="false">IF($K36="","",IF(INDEX(Transactions!$B$5:$B$5004,$K36)="","",INDEX(Transactions!$B$5:$B$5004,$K36)))</f>
        <v/>
      </c>
      <c r="E36" s="96" t="str">
        <f aca="false">IF($K36="","",IF(INDEX(Transactions!$C$5:$C$5004,$K36)="","",INDEX(Transactions!$C$5:$C$5004,$K36)))</f>
        <v/>
      </c>
      <c r="F36" s="96" t="str">
        <f aca="false">IF($K36="","",IF(INDEX(Transactions!$D$5:$D$5004,$K36)="","",INDEX(Transactions!$D$5:$D$5004,$K36)))</f>
        <v/>
      </c>
      <c r="G36" s="97" t="str">
        <f aca="false">IF($K36="","",IF(INDEX(Transactions!$E$5:$E$5004,$K36)="","",INDEX(Transactions!$E$5:$E$5004,$K36)))</f>
        <v/>
      </c>
      <c r="H36" s="96" t="str">
        <f aca="false">IF($K36="","",IF(INDEX(Transactions!$F$5:$F$5004,$K36)="","",INDEX(Transactions!$F$5:$F$5004,$K36)))</f>
        <v/>
      </c>
      <c r="I36" s="96" t="str">
        <f aca="false">IF($K36="","",IF(INDEX(Transactions!$G$5:$G$5004,$K36)="","",INDEX(Transactions!$G$5:$G$5004,$K36)))</f>
        <v/>
      </c>
      <c r="K36" s="98" t="str">
        <f aca="false">IFERROR(MATCH(22,Transactions!$H$5:$H$5004,0),"")</f>
        <v/>
      </c>
    </row>
    <row r="37" customFormat="false" ht="15" hidden="false" customHeight="false" outlineLevel="0" collapsed="false">
      <c r="B37" s="93" t="str">
        <f aca="false">IF($K37="","",23)</f>
        <v/>
      </c>
      <c r="C37" s="94" t="str">
        <f aca="false">IF($K37="","",IF(INDEX(Transactions!$A$5:$A$5004,$K37)="","",INDEX(Transactions!$A$5:$A$5004,$K37)))</f>
        <v/>
      </c>
      <c r="D37" s="95" t="str">
        <f aca="false">IF($K37="","",IF(INDEX(Transactions!$B$5:$B$5004,$K37)="","",INDEX(Transactions!$B$5:$B$5004,$K37)))</f>
        <v/>
      </c>
      <c r="E37" s="96" t="str">
        <f aca="false">IF($K37="","",IF(INDEX(Transactions!$C$5:$C$5004,$K37)="","",INDEX(Transactions!$C$5:$C$5004,$K37)))</f>
        <v/>
      </c>
      <c r="F37" s="96" t="str">
        <f aca="false">IF($K37="","",IF(INDEX(Transactions!$D$5:$D$5004,$K37)="","",INDEX(Transactions!$D$5:$D$5004,$K37)))</f>
        <v/>
      </c>
      <c r="G37" s="97" t="str">
        <f aca="false">IF($K37="","",IF(INDEX(Transactions!$E$5:$E$5004,$K37)="","",INDEX(Transactions!$E$5:$E$5004,$K37)))</f>
        <v/>
      </c>
      <c r="H37" s="96" t="str">
        <f aca="false">IF($K37="","",IF(INDEX(Transactions!$F$5:$F$5004,$K37)="","",INDEX(Transactions!$F$5:$F$5004,$K37)))</f>
        <v/>
      </c>
      <c r="I37" s="96" t="str">
        <f aca="false">IF($K37="","",IF(INDEX(Transactions!$G$5:$G$5004,$K37)="","",INDEX(Transactions!$G$5:$G$5004,$K37)))</f>
        <v/>
      </c>
      <c r="K37" s="98" t="str">
        <f aca="false">IFERROR(MATCH(23,Transactions!$H$5:$H$5004,0),"")</f>
        <v/>
      </c>
    </row>
    <row r="38" customFormat="false" ht="15" hidden="false" customHeight="false" outlineLevel="0" collapsed="false">
      <c r="B38" s="93" t="str">
        <f aca="false">IF($K38="","",24)</f>
        <v/>
      </c>
      <c r="C38" s="94" t="str">
        <f aca="false">IF($K38="","",IF(INDEX(Transactions!$A$5:$A$5004,$K38)="","",INDEX(Transactions!$A$5:$A$5004,$K38)))</f>
        <v/>
      </c>
      <c r="D38" s="95" t="str">
        <f aca="false">IF($K38="","",IF(INDEX(Transactions!$B$5:$B$5004,$K38)="","",INDEX(Transactions!$B$5:$B$5004,$K38)))</f>
        <v/>
      </c>
      <c r="E38" s="96" t="str">
        <f aca="false">IF($K38="","",IF(INDEX(Transactions!$C$5:$C$5004,$K38)="","",INDEX(Transactions!$C$5:$C$5004,$K38)))</f>
        <v/>
      </c>
      <c r="F38" s="96" t="str">
        <f aca="false">IF($K38="","",IF(INDEX(Transactions!$D$5:$D$5004,$K38)="","",INDEX(Transactions!$D$5:$D$5004,$K38)))</f>
        <v/>
      </c>
      <c r="G38" s="97" t="str">
        <f aca="false">IF($K38="","",IF(INDEX(Transactions!$E$5:$E$5004,$K38)="","",INDEX(Transactions!$E$5:$E$5004,$K38)))</f>
        <v/>
      </c>
      <c r="H38" s="96" t="str">
        <f aca="false">IF($K38="","",IF(INDEX(Transactions!$F$5:$F$5004,$K38)="","",INDEX(Transactions!$F$5:$F$5004,$K38)))</f>
        <v/>
      </c>
      <c r="I38" s="96" t="str">
        <f aca="false">IF($K38="","",IF(INDEX(Transactions!$G$5:$G$5004,$K38)="","",INDEX(Transactions!$G$5:$G$5004,$K38)))</f>
        <v/>
      </c>
      <c r="K38" s="98" t="str">
        <f aca="false">IFERROR(MATCH(24,Transactions!$H$5:$H$5004,0),"")</f>
        <v/>
      </c>
    </row>
    <row r="39" customFormat="false" ht="15" hidden="false" customHeight="false" outlineLevel="0" collapsed="false">
      <c r="B39" s="93" t="str">
        <f aca="false">IF($K39="","",25)</f>
        <v/>
      </c>
      <c r="C39" s="94" t="str">
        <f aca="false">IF($K39="","",IF(INDEX(Transactions!$A$5:$A$5004,$K39)="","",INDEX(Transactions!$A$5:$A$5004,$K39)))</f>
        <v/>
      </c>
      <c r="D39" s="95" t="str">
        <f aca="false">IF($K39="","",IF(INDEX(Transactions!$B$5:$B$5004,$K39)="","",INDEX(Transactions!$B$5:$B$5004,$K39)))</f>
        <v/>
      </c>
      <c r="E39" s="96" t="str">
        <f aca="false">IF($K39="","",IF(INDEX(Transactions!$C$5:$C$5004,$K39)="","",INDEX(Transactions!$C$5:$C$5004,$K39)))</f>
        <v/>
      </c>
      <c r="F39" s="96" t="str">
        <f aca="false">IF($K39="","",IF(INDEX(Transactions!$D$5:$D$5004,$K39)="","",INDEX(Transactions!$D$5:$D$5004,$K39)))</f>
        <v/>
      </c>
      <c r="G39" s="97" t="str">
        <f aca="false">IF($K39="","",IF(INDEX(Transactions!$E$5:$E$5004,$K39)="","",INDEX(Transactions!$E$5:$E$5004,$K39)))</f>
        <v/>
      </c>
      <c r="H39" s="96" t="str">
        <f aca="false">IF($K39="","",IF(INDEX(Transactions!$F$5:$F$5004,$K39)="","",INDEX(Transactions!$F$5:$F$5004,$K39)))</f>
        <v/>
      </c>
      <c r="I39" s="96" t="str">
        <f aca="false">IF($K39="","",IF(INDEX(Transactions!$G$5:$G$5004,$K39)="","",INDEX(Transactions!$G$5:$G$5004,$K39)))</f>
        <v/>
      </c>
      <c r="K39" s="98" t="str">
        <f aca="false">IFERROR(MATCH(25,Transactions!$H$5:$H$5004,0),"")</f>
        <v/>
      </c>
    </row>
    <row r="40" customFormat="false" ht="15" hidden="false" customHeight="false" outlineLevel="0" collapsed="false">
      <c r="B40" s="93" t="str">
        <f aca="false">IF($K40="","",26)</f>
        <v/>
      </c>
      <c r="C40" s="94" t="str">
        <f aca="false">IF($K40="","",IF(INDEX(Transactions!$A$5:$A$5004,$K40)="","",INDEX(Transactions!$A$5:$A$5004,$K40)))</f>
        <v/>
      </c>
      <c r="D40" s="95" t="str">
        <f aca="false">IF($K40="","",IF(INDEX(Transactions!$B$5:$B$5004,$K40)="","",INDEX(Transactions!$B$5:$B$5004,$K40)))</f>
        <v/>
      </c>
      <c r="E40" s="96" t="str">
        <f aca="false">IF($K40="","",IF(INDEX(Transactions!$C$5:$C$5004,$K40)="","",INDEX(Transactions!$C$5:$C$5004,$K40)))</f>
        <v/>
      </c>
      <c r="F40" s="96" t="str">
        <f aca="false">IF($K40="","",IF(INDEX(Transactions!$D$5:$D$5004,$K40)="","",INDEX(Transactions!$D$5:$D$5004,$K40)))</f>
        <v/>
      </c>
      <c r="G40" s="97" t="str">
        <f aca="false">IF($K40="","",IF(INDEX(Transactions!$E$5:$E$5004,$K40)="","",INDEX(Transactions!$E$5:$E$5004,$K40)))</f>
        <v/>
      </c>
      <c r="H40" s="96" t="str">
        <f aca="false">IF($K40="","",IF(INDEX(Transactions!$F$5:$F$5004,$K40)="","",INDEX(Transactions!$F$5:$F$5004,$K40)))</f>
        <v/>
      </c>
      <c r="I40" s="96" t="str">
        <f aca="false">IF($K40="","",IF(INDEX(Transactions!$G$5:$G$5004,$K40)="","",INDEX(Transactions!$G$5:$G$5004,$K40)))</f>
        <v/>
      </c>
      <c r="K40" s="98" t="str">
        <f aca="false">IFERROR(MATCH(26,Transactions!$H$5:$H$5004,0),"")</f>
        <v/>
      </c>
    </row>
    <row r="41" customFormat="false" ht="15" hidden="false" customHeight="false" outlineLevel="0" collapsed="false">
      <c r="B41" s="93" t="str">
        <f aca="false">IF($K41="","",27)</f>
        <v/>
      </c>
      <c r="C41" s="94" t="str">
        <f aca="false">IF($K41="","",IF(INDEX(Transactions!$A$5:$A$5004,$K41)="","",INDEX(Transactions!$A$5:$A$5004,$K41)))</f>
        <v/>
      </c>
      <c r="D41" s="95" t="str">
        <f aca="false">IF($K41="","",IF(INDEX(Transactions!$B$5:$B$5004,$K41)="","",INDEX(Transactions!$B$5:$B$5004,$K41)))</f>
        <v/>
      </c>
      <c r="E41" s="96" t="str">
        <f aca="false">IF($K41="","",IF(INDEX(Transactions!$C$5:$C$5004,$K41)="","",INDEX(Transactions!$C$5:$C$5004,$K41)))</f>
        <v/>
      </c>
      <c r="F41" s="96" t="str">
        <f aca="false">IF($K41="","",IF(INDEX(Transactions!$D$5:$D$5004,$K41)="","",INDEX(Transactions!$D$5:$D$5004,$K41)))</f>
        <v/>
      </c>
      <c r="G41" s="97" t="str">
        <f aca="false">IF($K41="","",IF(INDEX(Transactions!$E$5:$E$5004,$K41)="","",INDEX(Transactions!$E$5:$E$5004,$K41)))</f>
        <v/>
      </c>
      <c r="H41" s="96" t="str">
        <f aca="false">IF($K41="","",IF(INDEX(Transactions!$F$5:$F$5004,$K41)="","",INDEX(Transactions!$F$5:$F$5004,$K41)))</f>
        <v/>
      </c>
      <c r="I41" s="96" t="str">
        <f aca="false">IF($K41="","",IF(INDEX(Transactions!$G$5:$G$5004,$K41)="","",INDEX(Transactions!$G$5:$G$5004,$K41)))</f>
        <v/>
      </c>
      <c r="K41" s="98" t="str">
        <f aca="false">IFERROR(MATCH(27,Transactions!$H$5:$H$5004,0),"")</f>
        <v/>
      </c>
    </row>
    <row r="42" customFormat="false" ht="15" hidden="false" customHeight="false" outlineLevel="0" collapsed="false">
      <c r="B42" s="93" t="str">
        <f aca="false">IF($K42="","",28)</f>
        <v/>
      </c>
      <c r="C42" s="94" t="str">
        <f aca="false">IF($K42="","",IF(INDEX(Transactions!$A$5:$A$5004,$K42)="","",INDEX(Transactions!$A$5:$A$5004,$K42)))</f>
        <v/>
      </c>
      <c r="D42" s="95" t="str">
        <f aca="false">IF($K42="","",IF(INDEX(Transactions!$B$5:$B$5004,$K42)="","",INDEX(Transactions!$B$5:$B$5004,$K42)))</f>
        <v/>
      </c>
      <c r="E42" s="96" t="str">
        <f aca="false">IF($K42="","",IF(INDEX(Transactions!$C$5:$C$5004,$K42)="","",INDEX(Transactions!$C$5:$C$5004,$K42)))</f>
        <v/>
      </c>
      <c r="F42" s="96" t="str">
        <f aca="false">IF($K42="","",IF(INDEX(Transactions!$D$5:$D$5004,$K42)="","",INDEX(Transactions!$D$5:$D$5004,$K42)))</f>
        <v/>
      </c>
      <c r="G42" s="97" t="str">
        <f aca="false">IF($K42="","",IF(INDEX(Transactions!$E$5:$E$5004,$K42)="","",INDEX(Transactions!$E$5:$E$5004,$K42)))</f>
        <v/>
      </c>
      <c r="H42" s="96" t="str">
        <f aca="false">IF($K42="","",IF(INDEX(Transactions!$F$5:$F$5004,$K42)="","",INDEX(Transactions!$F$5:$F$5004,$K42)))</f>
        <v/>
      </c>
      <c r="I42" s="96" t="str">
        <f aca="false">IF($K42="","",IF(INDEX(Transactions!$G$5:$G$5004,$K42)="","",INDEX(Transactions!$G$5:$G$5004,$K42)))</f>
        <v/>
      </c>
      <c r="K42" s="98" t="str">
        <f aca="false">IFERROR(MATCH(28,Transactions!$H$5:$H$5004,0),"")</f>
        <v/>
      </c>
    </row>
    <row r="43" customFormat="false" ht="15" hidden="false" customHeight="false" outlineLevel="0" collapsed="false">
      <c r="B43" s="93" t="str">
        <f aca="false">IF($K43="","",29)</f>
        <v/>
      </c>
      <c r="C43" s="94" t="str">
        <f aca="false">IF($K43="","",IF(INDEX(Transactions!$A$5:$A$5004,$K43)="","",INDEX(Transactions!$A$5:$A$5004,$K43)))</f>
        <v/>
      </c>
      <c r="D43" s="95" t="str">
        <f aca="false">IF($K43="","",IF(INDEX(Transactions!$B$5:$B$5004,$K43)="","",INDEX(Transactions!$B$5:$B$5004,$K43)))</f>
        <v/>
      </c>
      <c r="E43" s="96" t="str">
        <f aca="false">IF($K43="","",IF(INDEX(Transactions!$C$5:$C$5004,$K43)="","",INDEX(Transactions!$C$5:$C$5004,$K43)))</f>
        <v/>
      </c>
      <c r="F43" s="96" t="str">
        <f aca="false">IF($K43="","",IF(INDEX(Transactions!$D$5:$D$5004,$K43)="","",INDEX(Transactions!$D$5:$D$5004,$K43)))</f>
        <v/>
      </c>
      <c r="G43" s="97" t="str">
        <f aca="false">IF($K43="","",IF(INDEX(Transactions!$E$5:$E$5004,$K43)="","",INDEX(Transactions!$E$5:$E$5004,$K43)))</f>
        <v/>
      </c>
      <c r="H43" s="96" t="str">
        <f aca="false">IF($K43="","",IF(INDEX(Transactions!$F$5:$F$5004,$K43)="","",INDEX(Transactions!$F$5:$F$5004,$K43)))</f>
        <v/>
      </c>
      <c r="I43" s="96" t="str">
        <f aca="false">IF($K43="","",IF(INDEX(Transactions!$G$5:$G$5004,$K43)="","",INDEX(Transactions!$G$5:$G$5004,$K43)))</f>
        <v/>
      </c>
      <c r="K43" s="98" t="str">
        <f aca="false">IFERROR(MATCH(29,Transactions!$H$5:$H$5004,0),"")</f>
        <v/>
      </c>
    </row>
    <row r="44" customFormat="false" ht="15" hidden="false" customHeight="false" outlineLevel="0" collapsed="false">
      <c r="B44" s="93" t="str">
        <f aca="false">IF($K44="","",30)</f>
        <v/>
      </c>
      <c r="C44" s="94" t="str">
        <f aca="false">IF($K44="","",IF(INDEX(Transactions!$A$5:$A$5004,$K44)="","",INDEX(Transactions!$A$5:$A$5004,$K44)))</f>
        <v/>
      </c>
      <c r="D44" s="95" t="str">
        <f aca="false">IF($K44="","",IF(INDEX(Transactions!$B$5:$B$5004,$K44)="","",INDEX(Transactions!$B$5:$B$5004,$K44)))</f>
        <v/>
      </c>
      <c r="E44" s="96" t="str">
        <f aca="false">IF($K44="","",IF(INDEX(Transactions!$C$5:$C$5004,$K44)="","",INDEX(Transactions!$C$5:$C$5004,$K44)))</f>
        <v/>
      </c>
      <c r="F44" s="96" t="str">
        <f aca="false">IF($K44="","",IF(INDEX(Transactions!$D$5:$D$5004,$K44)="","",INDEX(Transactions!$D$5:$D$5004,$K44)))</f>
        <v/>
      </c>
      <c r="G44" s="97" t="str">
        <f aca="false">IF($K44="","",IF(INDEX(Transactions!$E$5:$E$5004,$K44)="","",INDEX(Transactions!$E$5:$E$5004,$K44)))</f>
        <v/>
      </c>
      <c r="H44" s="96" t="str">
        <f aca="false">IF($K44="","",IF(INDEX(Transactions!$F$5:$F$5004,$K44)="","",INDEX(Transactions!$F$5:$F$5004,$K44)))</f>
        <v/>
      </c>
      <c r="I44" s="96" t="str">
        <f aca="false">IF($K44="","",IF(INDEX(Transactions!$G$5:$G$5004,$K44)="","",INDEX(Transactions!$G$5:$G$5004,$K44)))</f>
        <v/>
      </c>
      <c r="K44" s="98" t="str">
        <f aca="false">IFERROR(MATCH(30,Transactions!$H$5:$H$5004,0),"")</f>
        <v/>
      </c>
    </row>
    <row r="45" customFormat="false" ht="15" hidden="false" customHeight="false" outlineLevel="0" collapsed="false">
      <c r="B45" s="93" t="str">
        <f aca="false">IF($K45="","",31)</f>
        <v/>
      </c>
      <c r="C45" s="94" t="str">
        <f aca="false">IF($K45="","",IF(INDEX(Transactions!$A$5:$A$5004,$K45)="","",INDEX(Transactions!$A$5:$A$5004,$K45)))</f>
        <v/>
      </c>
      <c r="D45" s="95" t="str">
        <f aca="false">IF($K45="","",IF(INDEX(Transactions!$B$5:$B$5004,$K45)="","",INDEX(Transactions!$B$5:$B$5004,$K45)))</f>
        <v/>
      </c>
      <c r="E45" s="96" t="str">
        <f aca="false">IF($K45="","",IF(INDEX(Transactions!$C$5:$C$5004,$K45)="","",INDEX(Transactions!$C$5:$C$5004,$K45)))</f>
        <v/>
      </c>
      <c r="F45" s="96" t="str">
        <f aca="false">IF($K45="","",IF(INDEX(Transactions!$D$5:$D$5004,$K45)="","",INDEX(Transactions!$D$5:$D$5004,$K45)))</f>
        <v/>
      </c>
      <c r="G45" s="97" t="str">
        <f aca="false">IF($K45="","",IF(INDEX(Transactions!$E$5:$E$5004,$K45)="","",INDEX(Transactions!$E$5:$E$5004,$K45)))</f>
        <v/>
      </c>
      <c r="H45" s="96" t="str">
        <f aca="false">IF($K45="","",IF(INDEX(Transactions!$F$5:$F$5004,$K45)="","",INDEX(Transactions!$F$5:$F$5004,$K45)))</f>
        <v/>
      </c>
      <c r="I45" s="96" t="str">
        <f aca="false">IF($K45="","",IF(INDEX(Transactions!$G$5:$G$5004,$K45)="","",INDEX(Transactions!$G$5:$G$5004,$K45)))</f>
        <v/>
      </c>
      <c r="K45" s="98" t="str">
        <f aca="false">IFERROR(MATCH(31,Transactions!$H$5:$H$5004,0),"")</f>
        <v/>
      </c>
    </row>
    <row r="46" customFormat="false" ht="15" hidden="false" customHeight="false" outlineLevel="0" collapsed="false">
      <c r="B46" s="93" t="str">
        <f aca="false">IF($K46="","",32)</f>
        <v/>
      </c>
      <c r="C46" s="94" t="str">
        <f aca="false">IF($K46="","",IF(INDEX(Transactions!$A$5:$A$5004,$K46)="","",INDEX(Transactions!$A$5:$A$5004,$K46)))</f>
        <v/>
      </c>
      <c r="D46" s="95" t="str">
        <f aca="false">IF($K46="","",IF(INDEX(Transactions!$B$5:$B$5004,$K46)="","",INDEX(Transactions!$B$5:$B$5004,$K46)))</f>
        <v/>
      </c>
      <c r="E46" s="96" t="str">
        <f aca="false">IF($K46="","",IF(INDEX(Transactions!$C$5:$C$5004,$K46)="","",INDEX(Transactions!$C$5:$C$5004,$K46)))</f>
        <v/>
      </c>
      <c r="F46" s="96" t="str">
        <f aca="false">IF($K46="","",IF(INDEX(Transactions!$D$5:$D$5004,$K46)="","",INDEX(Transactions!$D$5:$D$5004,$K46)))</f>
        <v/>
      </c>
      <c r="G46" s="97" t="str">
        <f aca="false">IF($K46="","",IF(INDEX(Transactions!$E$5:$E$5004,$K46)="","",INDEX(Transactions!$E$5:$E$5004,$K46)))</f>
        <v/>
      </c>
      <c r="H46" s="96" t="str">
        <f aca="false">IF($K46="","",IF(INDEX(Transactions!$F$5:$F$5004,$K46)="","",INDEX(Transactions!$F$5:$F$5004,$K46)))</f>
        <v/>
      </c>
      <c r="I46" s="96" t="str">
        <f aca="false">IF($K46="","",IF(INDEX(Transactions!$G$5:$G$5004,$K46)="","",INDEX(Transactions!$G$5:$G$5004,$K46)))</f>
        <v/>
      </c>
      <c r="K46" s="98" t="str">
        <f aca="false">IFERROR(MATCH(32,Transactions!$H$5:$H$5004,0),"")</f>
        <v/>
      </c>
    </row>
    <row r="47" customFormat="false" ht="15" hidden="false" customHeight="false" outlineLevel="0" collapsed="false">
      <c r="B47" s="93" t="str">
        <f aca="false">IF($K47="","",33)</f>
        <v/>
      </c>
      <c r="C47" s="94" t="str">
        <f aca="false">IF($K47="","",IF(INDEX(Transactions!$A$5:$A$5004,$K47)="","",INDEX(Transactions!$A$5:$A$5004,$K47)))</f>
        <v/>
      </c>
      <c r="D47" s="95" t="str">
        <f aca="false">IF($K47="","",IF(INDEX(Transactions!$B$5:$B$5004,$K47)="","",INDEX(Transactions!$B$5:$B$5004,$K47)))</f>
        <v/>
      </c>
      <c r="E47" s="96" t="str">
        <f aca="false">IF($K47="","",IF(INDEX(Transactions!$C$5:$C$5004,$K47)="","",INDEX(Transactions!$C$5:$C$5004,$K47)))</f>
        <v/>
      </c>
      <c r="F47" s="96" t="str">
        <f aca="false">IF($K47="","",IF(INDEX(Transactions!$D$5:$D$5004,$K47)="","",INDEX(Transactions!$D$5:$D$5004,$K47)))</f>
        <v/>
      </c>
      <c r="G47" s="97" t="str">
        <f aca="false">IF($K47="","",IF(INDEX(Transactions!$E$5:$E$5004,$K47)="","",INDEX(Transactions!$E$5:$E$5004,$K47)))</f>
        <v/>
      </c>
      <c r="H47" s="96" t="str">
        <f aca="false">IF($K47="","",IF(INDEX(Transactions!$F$5:$F$5004,$K47)="","",INDEX(Transactions!$F$5:$F$5004,$K47)))</f>
        <v/>
      </c>
      <c r="I47" s="96" t="str">
        <f aca="false">IF($K47="","",IF(INDEX(Transactions!$G$5:$G$5004,$K47)="","",INDEX(Transactions!$G$5:$G$5004,$K47)))</f>
        <v/>
      </c>
      <c r="K47" s="98" t="str">
        <f aca="false">IFERROR(MATCH(33,Transactions!$H$5:$H$5004,0),"")</f>
        <v/>
      </c>
    </row>
    <row r="48" customFormat="false" ht="15" hidden="false" customHeight="false" outlineLevel="0" collapsed="false">
      <c r="B48" s="93" t="str">
        <f aca="false">IF($K48="","",34)</f>
        <v/>
      </c>
      <c r="C48" s="94" t="str">
        <f aca="false">IF($K48="","",IF(INDEX(Transactions!$A$5:$A$5004,$K48)="","",INDEX(Transactions!$A$5:$A$5004,$K48)))</f>
        <v/>
      </c>
      <c r="D48" s="95" t="str">
        <f aca="false">IF($K48="","",IF(INDEX(Transactions!$B$5:$B$5004,$K48)="","",INDEX(Transactions!$B$5:$B$5004,$K48)))</f>
        <v/>
      </c>
      <c r="E48" s="96" t="str">
        <f aca="false">IF($K48="","",IF(INDEX(Transactions!$C$5:$C$5004,$K48)="","",INDEX(Transactions!$C$5:$C$5004,$K48)))</f>
        <v/>
      </c>
      <c r="F48" s="96" t="str">
        <f aca="false">IF($K48="","",IF(INDEX(Transactions!$D$5:$D$5004,$K48)="","",INDEX(Transactions!$D$5:$D$5004,$K48)))</f>
        <v/>
      </c>
      <c r="G48" s="97" t="str">
        <f aca="false">IF($K48="","",IF(INDEX(Transactions!$E$5:$E$5004,$K48)="","",INDEX(Transactions!$E$5:$E$5004,$K48)))</f>
        <v/>
      </c>
      <c r="H48" s="96" t="str">
        <f aca="false">IF($K48="","",IF(INDEX(Transactions!$F$5:$F$5004,$K48)="","",INDEX(Transactions!$F$5:$F$5004,$K48)))</f>
        <v/>
      </c>
      <c r="I48" s="96" t="str">
        <f aca="false">IF($K48="","",IF(INDEX(Transactions!$G$5:$G$5004,$K48)="","",INDEX(Transactions!$G$5:$G$5004,$K48)))</f>
        <v/>
      </c>
      <c r="K48" s="98" t="str">
        <f aca="false">IFERROR(MATCH(34,Transactions!$H$5:$H$5004,0),"")</f>
        <v/>
      </c>
    </row>
    <row r="49" customFormat="false" ht="15" hidden="false" customHeight="false" outlineLevel="0" collapsed="false">
      <c r="B49" s="93" t="str">
        <f aca="false">IF($K49="","",35)</f>
        <v/>
      </c>
      <c r="C49" s="94" t="str">
        <f aca="false">IF($K49="","",IF(INDEX(Transactions!$A$5:$A$5004,$K49)="","",INDEX(Transactions!$A$5:$A$5004,$K49)))</f>
        <v/>
      </c>
      <c r="D49" s="95" t="str">
        <f aca="false">IF($K49="","",IF(INDEX(Transactions!$B$5:$B$5004,$K49)="","",INDEX(Transactions!$B$5:$B$5004,$K49)))</f>
        <v/>
      </c>
      <c r="E49" s="96" t="str">
        <f aca="false">IF($K49="","",IF(INDEX(Transactions!$C$5:$C$5004,$K49)="","",INDEX(Transactions!$C$5:$C$5004,$K49)))</f>
        <v/>
      </c>
      <c r="F49" s="96" t="str">
        <f aca="false">IF($K49="","",IF(INDEX(Transactions!$D$5:$D$5004,$K49)="","",INDEX(Transactions!$D$5:$D$5004,$K49)))</f>
        <v/>
      </c>
      <c r="G49" s="97" t="str">
        <f aca="false">IF($K49="","",IF(INDEX(Transactions!$E$5:$E$5004,$K49)="","",INDEX(Transactions!$E$5:$E$5004,$K49)))</f>
        <v/>
      </c>
      <c r="H49" s="96" t="str">
        <f aca="false">IF($K49="","",IF(INDEX(Transactions!$F$5:$F$5004,$K49)="","",INDEX(Transactions!$F$5:$F$5004,$K49)))</f>
        <v/>
      </c>
      <c r="I49" s="96" t="str">
        <f aca="false">IF($K49="","",IF(INDEX(Transactions!$G$5:$G$5004,$K49)="","",INDEX(Transactions!$G$5:$G$5004,$K49)))</f>
        <v/>
      </c>
      <c r="K49" s="98" t="str">
        <f aca="false">IFERROR(MATCH(35,Transactions!$H$5:$H$5004,0),"")</f>
        <v/>
      </c>
    </row>
    <row r="50" customFormat="false" ht="15" hidden="false" customHeight="false" outlineLevel="0" collapsed="false">
      <c r="B50" s="93" t="str">
        <f aca="false">IF($K50="","",36)</f>
        <v/>
      </c>
      <c r="C50" s="94" t="str">
        <f aca="false">IF($K50="","",IF(INDEX(Transactions!$A$5:$A$5004,$K50)="","",INDEX(Transactions!$A$5:$A$5004,$K50)))</f>
        <v/>
      </c>
      <c r="D50" s="95" t="str">
        <f aca="false">IF($K50="","",IF(INDEX(Transactions!$B$5:$B$5004,$K50)="","",INDEX(Transactions!$B$5:$B$5004,$K50)))</f>
        <v/>
      </c>
      <c r="E50" s="96" t="str">
        <f aca="false">IF($K50="","",IF(INDEX(Transactions!$C$5:$C$5004,$K50)="","",INDEX(Transactions!$C$5:$C$5004,$K50)))</f>
        <v/>
      </c>
      <c r="F50" s="96" t="str">
        <f aca="false">IF($K50="","",IF(INDEX(Transactions!$D$5:$D$5004,$K50)="","",INDEX(Transactions!$D$5:$D$5004,$K50)))</f>
        <v/>
      </c>
      <c r="G50" s="97" t="str">
        <f aca="false">IF($K50="","",IF(INDEX(Transactions!$E$5:$E$5004,$K50)="","",INDEX(Transactions!$E$5:$E$5004,$K50)))</f>
        <v/>
      </c>
      <c r="H50" s="96" t="str">
        <f aca="false">IF($K50="","",IF(INDEX(Transactions!$F$5:$F$5004,$K50)="","",INDEX(Transactions!$F$5:$F$5004,$K50)))</f>
        <v/>
      </c>
      <c r="I50" s="96" t="str">
        <f aca="false">IF($K50="","",IF(INDEX(Transactions!$G$5:$G$5004,$K50)="","",INDEX(Transactions!$G$5:$G$5004,$K50)))</f>
        <v/>
      </c>
      <c r="K50" s="98" t="str">
        <f aca="false">IFERROR(MATCH(36,Transactions!$H$5:$H$5004,0),"")</f>
        <v/>
      </c>
    </row>
    <row r="51" customFormat="false" ht="15" hidden="false" customHeight="false" outlineLevel="0" collapsed="false">
      <c r="B51" s="93" t="str">
        <f aca="false">IF($K51="","",37)</f>
        <v/>
      </c>
      <c r="C51" s="94" t="str">
        <f aca="false">IF($K51="","",IF(INDEX(Transactions!$A$5:$A$5004,$K51)="","",INDEX(Transactions!$A$5:$A$5004,$K51)))</f>
        <v/>
      </c>
      <c r="D51" s="95" t="str">
        <f aca="false">IF($K51="","",IF(INDEX(Transactions!$B$5:$B$5004,$K51)="","",INDEX(Transactions!$B$5:$B$5004,$K51)))</f>
        <v/>
      </c>
      <c r="E51" s="96" t="str">
        <f aca="false">IF($K51="","",IF(INDEX(Transactions!$C$5:$C$5004,$K51)="","",INDEX(Transactions!$C$5:$C$5004,$K51)))</f>
        <v/>
      </c>
      <c r="F51" s="96" t="str">
        <f aca="false">IF($K51="","",IF(INDEX(Transactions!$D$5:$D$5004,$K51)="","",INDEX(Transactions!$D$5:$D$5004,$K51)))</f>
        <v/>
      </c>
      <c r="G51" s="97" t="str">
        <f aca="false">IF($K51="","",IF(INDEX(Transactions!$E$5:$E$5004,$K51)="","",INDEX(Transactions!$E$5:$E$5004,$K51)))</f>
        <v/>
      </c>
      <c r="H51" s="96" t="str">
        <f aca="false">IF($K51="","",IF(INDEX(Transactions!$F$5:$F$5004,$K51)="","",INDEX(Transactions!$F$5:$F$5004,$K51)))</f>
        <v/>
      </c>
      <c r="I51" s="96" t="str">
        <f aca="false">IF($K51="","",IF(INDEX(Transactions!$G$5:$G$5004,$K51)="","",INDEX(Transactions!$G$5:$G$5004,$K51)))</f>
        <v/>
      </c>
      <c r="K51" s="98" t="str">
        <f aca="false">IFERROR(MATCH(37,Transactions!$H$5:$H$5004,0),"")</f>
        <v/>
      </c>
    </row>
    <row r="52" customFormat="false" ht="15" hidden="false" customHeight="false" outlineLevel="0" collapsed="false">
      <c r="B52" s="93" t="str">
        <f aca="false">IF($K52="","",38)</f>
        <v/>
      </c>
      <c r="C52" s="94" t="str">
        <f aca="false">IF($K52="","",IF(INDEX(Transactions!$A$5:$A$5004,$K52)="","",INDEX(Transactions!$A$5:$A$5004,$K52)))</f>
        <v/>
      </c>
      <c r="D52" s="95" t="str">
        <f aca="false">IF($K52="","",IF(INDEX(Transactions!$B$5:$B$5004,$K52)="","",INDEX(Transactions!$B$5:$B$5004,$K52)))</f>
        <v/>
      </c>
      <c r="E52" s="96" t="str">
        <f aca="false">IF($K52="","",IF(INDEX(Transactions!$C$5:$C$5004,$K52)="","",INDEX(Transactions!$C$5:$C$5004,$K52)))</f>
        <v/>
      </c>
      <c r="F52" s="96" t="str">
        <f aca="false">IF($K52="","",IF(INDEX(Transactions!$D$5:$D$5004,$K52)="","",INDEX(Transactions!$D$5:$D$5004,$K52)))</f>
        <v/>
      </c>
      <c r="G52" s="97" t="str">
        <f aca="false">IF($K52="","",IF(INDEX(Transactions!$E$5:$E$5004,$K52)="","",INDEX(Transactions!$E$5:$E$5004,$K52)))</f>
        <v/>
      </c>
      <c r="H52" s="96" t="str">
        <f aca="false">IF($K52="","",IF(INDEX(Transactions!$F$5:$F$5004,$K52)="","",INDEX(Transactions!$F$5:$F$5004,$K52)))</f>
        <v/>
      </c>
      <c r="I52" s="96" t="str">
        <f aca="false">IF($K52="","",IF(INDEX(Transactions!$G$5:$G$5004,$K52)="","",INDEX(Transactions!$G$5:$G$5004,$K52)))</f>
        <v/>
      </c>
      <c r="K52" s="98" t="str">
        <f aca="false">IFERROR(MATCH(38,Transactions!$H$5:$H$5004,0),"")</f>
        <v/>
      </c>
    </row>
    <row r="53" customFormat="false" ht="15" hidden="false" customHeight="false" outlineLevel="0" collapsed="false">
      <c r="B53" s="93" t="str">
        <f aca="false">IF($K53="","",39)</f>
        <v/>
      </c>
      <c r="C53" s="94" t="str">
        <f aca="false">IF($K53="","",IF(INDEX(Transactions!$A$5:$A$5004,$K53)="","",INDEX(Transactions!$A$5:$A$5004,$K53)))</f>
        <v/>
      </c>
      <c r="D53" s="95" t="str">
        <f aca="false">IF($K53="","",IF(INDEX(Transactions!$B$5:$B$5004,$K53)="","",INDEX(Transactions!$B$5:$B$5004,$K53)))</f>
        <v/>
      </c>
      <c r="E53" s="96" t="str">
        <f aca="false">IF($K53="","",IF(INDEX(Transactions!$C$5:$C$5004,$K53)="","",INDEX(Transactions!$C$5:$C$5004,$K53)))</f>
        <v/>
      </c>
      <c r="F53" s="96" t="str">
        <f aca="false">IF($K53="","",IF(INDEX(Transactions!$D$5:$D$5004,$K53)="","",INDEX(Transactions!$D$5:$D$5004,$K53)))</f>
        <v/>
      </c>
      <c r="G53" s="97" t="str">
        <f aca="false">IF($K53="","",IF(INDEX(Transactions!$E$5:$E$5004,$K53)="","",INDEX(Transactions!$E$5:$E$5004,$K53)))</f>
        <v/>
      </c>
      <c r="H53" s="96" t="str">
        <f aca="false">IF($K53="","",IF(INDEX(Transactions!$F$5:$F$5004,$K53)="","",INDEX(Transactions!$F$5:$F$5004,$K53)))</f>
        <v/>
      </c>
      <c r="I53" s="96" t="str">
        <f aca="false">IF($K53="","",IF(INDEX(Transactions!$G$5:$G$5004,$K53)="","",INDEX(Transactions!$G$5:$G$5004,$K53)))</f>
        <v/>
      </c>
      <c r="K53" s="98" t="str">
        <f aca="false">IFERROR(MATCH(39,Transactions!$H$5:$H$5004,0),"")</f>
        <v/>
      </c>
    </row>
    <row r="54" customFormat="false" ht="15" hidden="false" customHeight="false" outlineLevel="0" collapsed="false">
      <c r="B54" s="93" t="str">
        <f aca="false">IF($K54="","",40)</f>
        <v/>
      </c>
      <c r="C54" s="94" t="str">
        <f aca="false">IF($K54="","",IF(INDEX(Transactions!$A$5:$A$5004,$K54)="","",INDEX(Transactions!$A$5:$A$5004,$K54)))</f>
        <v/>
      </c>
      <c r="D54" s="95" t="str">
        <f aca="false">IF($K54="","",IF(INDEX(Transactions!$B$5:$B$5004,$K54)="","",INDEX(Transactions!$B$5:$B$5004,$K54)))</f>
        <v/>
      </c>
      <c r="E54" s="96" t="str">
        <f aca="false">IF($K54="","",IF(INDEX(Transactions!$C$5:$C$5004,$K54)="","",INDEX(Transactions!$C$5:$C$5004,$K54)))</f>
        <v/>
      </c>
      <c r="F54" s="96" t="str">
        <f aca="false">IF($K54="","",IF(INDEX(Transactions!$D$5:$D$5004,$K54)="","",INDEX(Transactions!$D$5:$D$5004,$K54)))</f>
        <v/>
      </c>
      <c r="G54" s="97" t="str">
        <f aca="false">IF($K54="","",IF(INDEX(Transactions!$E$5:$E$5004,$K54)="","",INDEX(Transactions!$E$5:$E$5004,$K54)))</f>
        <v/>
      </c>
      <c r="H54" s="96" t="str">
        <f aca="false">IF($K54="","",IF(INDEX(Transactions!$F$5:$F$5004,$K54)="","",INDEX(Transactions!$F$5:$F$5004,$K54)))</f>
        <v/>
      </c>
      <c r="I54" s="96" t="str">
        <f aca="false">IF($K54="","",IF(INDEX(Transactions!$G$5:$G$5004,$K54)="","",INDEX(Transactions!$G$5:$G$5004,$K54)))</f>
        <v/>
      </c>
      <c r="K54" s="98" t="str">
        <f aca="false">IFERROR(MATCH(40,Transactions!$H$5:$H$5004,0),"")</f>
        <v/>
      </c>
    </row>
    <row r="55" customFormat="false" ht="15" hidden="false" customHeight="false" outlineLevel="0" collapsed="false">
      <c r="B55" s="93" t="str">
        <f aca="false">IF($K55="","",41)</f>
        <v/>
      </c>
      <c r="C55" s="94" t="str">
        <f aca="false">IF($K55="","",IF(INDEX(Transactions!$A$5:$A$5004,$K55)="","",INDEX(Transactions!$A$5:$A$5004,$K55)))</f>
        <v/>
      </c>
      <c r="D55" s="95" t="str">
        <f aca="false">IF($K55="","",IF(INDEX(Transactions!$B$5:$B$5004,$K55)="","",INDEX(Transactions!$B$5:$B$5004,$K55)))</f>
        <v/>
      </c>
      <c r="E55" s="96" t="str">
        <f aca="false">IF($K55="","",IF(INDEX(Transactions!$C$5:$C$5004,$K55)="","",INDEX(Transactions!$C$5:$C$5004,$K55)))</f>
        <v/>
      </c>
      <c r="F55" s="96" t="str">
        <f aca="false">IF($K55="","",IF(INDEX(Transactions!$D$5:$D$5004,$K55)="","",INDEX(Transactions!$D$5:$D$5004,$K55)))</f>
        <v/>
      </c>
      <c r="G55" s="97" t="str">
        <f aca="false">IF($K55="","",IF(INDEX(Transactions!$E$5:$E$5004,$K55)="","",INDEX(Transactions!$E$5:$E$5004,$K55)))</f>
        <v/>
      </c>
      <c r="H55" s="96" t="str">
        <f aca="false">IF($K55="","",IF(INDEX(Transactions!$F$5:$F$5004,$K55)="","",INDEX(Transactions!$F$5:$F$5004,$K55)))</f>
        <v/>
      </c>
      <c r="I55" s="96" t="str">
        <f aca="false">IF($K55="","",IF(INDEX(Transactions!$G$5:$G$5004,$K55)="","",INDEX(Transactions!$G$5:$G$5004,$K55)))</f>
        <v/>
      </c>
      <c r="K55" s="98" t="str">
        <f aca="false">IFERROR(MATCH(41,Transactions!$H$5:$H$5004,0),"")</f>
        <v/>
      </c>
    </row>
    <row r="56" customFormat="false" ht="15" hidden="false" customHeight="false" outlineLevel="0" collapsed="false">
      <c r="B56" s="93" t="str">
        <f aca="false">IF($K56="","",42)</f>
        <v/>
      </c>
      <c r="C56" s="94" t="str">
        <f aca="false">IF($K56="","",IF(INDEX(Transactions!$A$5:$A$5004,$K56)="","",INDEX(Transactions!$A$5:$A$5004,$K56)))</f>
        <v/>
      </c>
      <c r="D56" s="95" t="str">
        <f aca="false">IF($K56="","",IF(INDEX(Transactions!$B$5:$B$5004,$K56)="","",INDEX(Transactions!$B$5:$B$5004,$K56)))</f>
        <v/>
      </c>
      <c r="E56" s="96" t="str">
        <f aca="false">IF($K56="","",IF(INDEX(Transactions!$C$5:$C$5004,$K56)="","",INDEX(Transactions!$C$5:$C$5004,$K56)))</f>
        <v/>
      </c>
      <c r="F56" s="96" t="str">
        <f aca="false">IF($K56="","",IF(INDEX(Transactions!$D$5:$D$5004,$K56)="","",INDEX(Transactions!$D$5:$D$5004,$K56)))</f>
        <v/>
      </c>
      <c r="G56" s="97" t="str">
        <f aca="false">IF($K56="","",IF(INDEX(Transactions!$E$5:$E$5004,$K56)="","",INDEX(Transactions!$E$5:$E$5004,$K56)))</f>
        <v/>
      </c>
      <c r="H56" s="96" t="str">
        <f aca="false">IF($K56="","",IF(INDEX(Transactions!$F$5:$F$5004,$K56)="","",INDEX(Transactions!$F$5:$F$5004,$K56)))</f>
        <v/>
      </c>
      <c r="I56" s="96" t="str">
        <f aca="false">IF($K56="","",IF(INDEX(Transactions!$G$5:$G$5004,$K56)="","",INDEX(Transactions!$G$5:$G$5004,$K56)))</f>
        <v/>
      </c>
      <c r="K56" s="98" t="str">
        <f aca="false">IFERROR(MATCH(42,Transactions!$H$5:$H$5004,0),"")</f>
        <v/>
      </c>
    </row>
    <row r="57" customFormat="false" ht="15" hidden="false" customHeight="false" outlineLevel="0" collapsed="false">
      <c r="B57" s="93" t="str">
        <f aca="false">IF($K57="","",43)</f>
        <v/>
      </c>
      <c r="C57" s="94" t="str">
        <f aca="false">IF($K57="","",IF(INDEX(Transactions!$A$5:$A$5004,$K57)="","",INDEX(Transactions!$A$5:$A$5004,$K57)))</f>
        <v/>
      </c>
      <c r="D57" s="95" t="str">
        <f aca="false">IF($K57="","",IF(INDEX(Transactions!$B$5:$B$5004,$K57)="","",INDEX(Transactions!$B$5:$B$5004,$K57)))</f>
        <v/>
      </c>
      <c r="E57" s="96" t="str">
        <f aca="false">IF($K57="","",IF(INDEX(Transactions!$C$5:$C$5004,$K57)="","",INDEX(Transactions!$C$5:$C$5004,$K57)))</f>
        <v/>
      </c>
      <c r="F57" s="96" t="str">
        <f aca="false">IF($K57="","",IF(INDEX(Transactions!$D$5:$D$5004,$K57)="","",INDEX(Transactions!$D$5:$D$5004,$K57)))</f>
        <v/>
      </c>
      <c r="G57" s="97" t="str">
        <f aca="false">IF($K57="","",IF(INDEX(Transactions!$E$5:$E$5004,$K57)="","",INDEX(Transactions!$E$5:$E$5004,$K57)))</f>
        <v/>
      </c>
      <c r="H57" s="96" t="str">
        <f aca="false">IF($K57="","",IF(INDEX(Transactions!$F$5:$F$5004,$K57)="","",INDEX(Transactions!$F$5:$F$5004,$K57)))</f>
        <v/>
      </c>
      <c r="I57" s="96" t="str">
        <f aca="false">IF($K57="","",IF(INDEX(Transactions!$G$5:$G$5004,$K57)="","",INDEX(Transactions!$G$5:$G$5004,$K57)))</f>
        <v/>
      </c>
      <c r="K57" s="98" t="str">
        <f aca="false">IFERROR(MATCH(43,Transactions!$H$5:$H$5004,0),"")</f>
        <v/>
      </c>
    </row>
    <row r="58" customFormat="false" ht="15" hidden="false" customHeight="false" outlineLevel="0" collapsed="false">
      <c r="B58" s="93" t="str">
        <f aca="false">IF($K58="","",44)</f>
        <v/>
      </c>
      <c r="C58" s="94" t="str">
        <f aca="false">IF($K58="","",IF(INDEX(Transactions!$A$5:$A$5004,$K58)="","",INDEX(Transactions!$A$5:$A$5004,$K58)))</f>
        <v/>
      </c>
      <c r="D58" s="95" t="str">
        <f aca="false">IF($K58="","",IF(INDEX(Transactions!$B$5:$B$5004,$K58)="","",INDEX(Transactions!$B$5:$B$5004,$K58)))</f>
        <v/>
      </c>
      <c r="E58" s="96" t="str">
        <f aca="false">IF($K58="","",IF(INDEX(Transactions!$C$5:$C$5004,$K58)="","",INDEX(Transactions!$C$5:$C$5004,$K58)))</f>
        <v/>
      </c>
      <c r="F58" s="96" t="str">
        <f aca="false">IF($K58="","",IF(INDEX(Transactions!$D$5:$D$5004,$K58)="","",INDEX(Transactions!$D$5:$D$5004,$K58)))</f>
        <v/>
      </c>
      <c r="G58" s="97" t="str">
        <f aca="false">IF($K58="","",IF(INDEX(Transactions!$E$5:$E$5004,$K58)="","",INDEX(Transactions!$E$5:$E$5004,$K58)))</f>
        <v/>
      </c>
      <c r="H58" s="96" t="str">
        <f aca="false">IF($K58="","",IF(INDEX(Transactions!$F$5:$F$5004,$K58)="","",INDEX(Transactions!$F$5:$F$5004,$K58)))</f>
        <v/>
      </c>
      <c r="I58" s="96" t="str">
        <f aca="false">IF($K58="","",IF(INDEX(Transactions!$G$5:$G$5004,$K58)="","",INDEX(Transactions!$G$5:$G$5004,$K58)))</f>
        <v/>
      </c>
      <c r="K58" s="98" t="str">
        <f aca="false">IFERROR(MATCH(44,Transactions!$H$5:$H$5004,0),"")</f>
        <v/>
      </c>
    </row>
    <row r="59" customFormat="false" ht="15" hidden="false" customHeight="false" outlineLevel="0" collapsed="false">
      <c r="B59" s="93" t="str">
        <f aca="false">IF($K59="","",45)</f>
        <v/>
      </c>
      <c r="C59" s="94" t="str">
        <f aca="false">IF($K59="","",IF(INDEX(Transactions!$A$5:$A$5004,$K59)="","",INDEX(Transactions!$A$5:$A$5004,$K59)))</f>
        <v/>
      </c>
      <c r="D59" s="95" t="str">
        <f aca="false">IF($K59="","",IF(INDEX(Transactions!$B$5:$B$5004,$K59)="","",INDEX(Transactions!$B$5:$B$5004,$K59)))</f>
        <v/>
      </c>
      <c r="E59" s="96" t="str">
        <f aca="false">IF($K59="","",IF(INDEX(Transactions!$C$5:$C$5004,$K59)="","",INDEX(Transactions!$C$5:$C$5004,$K59)))</f>
        <v/>
      </c>
      <c r="F59" s="96" t="str">
        <f aca="false">IF($K59="","",IF(INDEX(Transactions!$D$5:$D$5004,$K59)="","",INDEX(Transactions!$D$5:$D$5004,$K59)))</f>
        <v/>
      </c>
      <c r="G59" s="97" t="str">
        <f aca="false">IF($K59="","",IF(INDEX(Transactions!$E$5:$E$5004,$K59)="","",INDEX(Transactions!$E$5:$E$5004,$K59)))</f>
        <v/>
      </c>
      <c r="H59" s="96" t="str">
        <f aca="false">IF($K59="","",IF(INDEX(Transactions!$F$5:$F$5004,$K59)="","",INDEX(Transactions!$F$5:$F$5004,$K59)))</f>
        <v/>
      </c>
      <c r="I59" s="96" t="str">
        <f aca="false">IF($K59="","",IF(INDEX(Transactions!$G$5:$G$5004,$K59)="","",INDEX(Transactions!$G$5:$G$5004,$K59)))</f>
        <v/>
      </c>
      <c r="K59" s="98" t="str">
        <f aca="false">IFERROR(MATCH(45,Transactions!$H$5:$H$5004,0),"")</f>
        <v/>
      </c>
    </row>
    <row r="60" customFormat="false" ht="15" hidden="false" customHeight="false" outlineLevel="0" collapsed="false">
      <c r="B60" s="93" t="str">
        <f aca="false">IF($K60="","",46)</f>
        <v/>
      </c>
      <c r="C60" s="94" t="str">
        <f aca="false">IF($K60="","",IF(INDEX(Transactions!$A$5:$A$5004,$K60)="","",INDEX(Transactions!$A$5:$A$5004,$K60)))</f>
        <v/>
      </c>
      <c r="D60" s="95" t="str">
        <f aca="false">IF($K60="","",IF(INDEX(Transactions!$B$5:$B$5004,$K60)="","",INDEX(Transactions!$B$5:$B$5004,$K60)))</f>
        <v/>
      </c>
      <c r="E60" s="96" t="str">
        <f aca="false">IF($K60="","",IF(INDEX(Transactions!$C$5:$C$5004,$K60)="","",INDEX(Transactions!$C$5:$C$5004,$K60)))</f>
        <v/>
      </c>
      <c r="F60" s="96" t="str">
        <f aca="false">IF($K60="","",IF(INDEX(Transactions!$D$5:$D$5004,$K60)="","",INDEX(Transactions!$D$5:$D$5004,$K60)))</f>
        <v/>
      </c>
      <c r="G60" s="97" t="str">
        <f aca="false">IF($K60="","",IF(INDEX(Transactions!$E$5:$E$5004,$K60)="","",INDEX(Transactions!$E$5:$E$5004,$K60)))</f>
        <v/>
      </c>
      <c r="H60" s="96" t="str">
        <f aca="false">IF($K60="","",IF(INDEX(Transactions!$F$5:$F$5004,$K60)="","",INDEX(Transactions!$F$5:$F$5004,$K60)))</f>
        <v/>
      </c>
      <c r="I60" s="96" t="str">
        <f aca="false">IF($K60="","",IF(INDEX(Transactions!$G$5:$G$5004,$K60)="","",INDEX(Transactions!$G$5:$G$5004,$K60)))</f>
        <v/>
      </c>
      <c r="K60" s="98" t="str">
        <f aca="false">IFERROR(MATCH(46,Transactions!$H$5:$H$5004,0),"")</f>
        <v/>
      </c>
    </row>
    <row r="61" customFormat="false" ht="15" hidden="false" customHeight="false" outlineLevel="0" collapsed="false">
      <c r="B61" s="93" t="str">
        <f aca="false">IF($K61="","",47)</f>
        <v/>
      </c>
      <c r="C61" s="94" t="str">
        <f aca="false">IF($K61="","",IF(INDEX(Transactions!$A$5:$A$5004,$K61)="","",INDEX(Transactions!$A$5:$A$5004,$K61)))</f>
        <v/>
      </c>
      <c r="D61" s="95" t="str">
        <f aca="false">IF($K61="","",IF(INDEX(Transactions!$B$5:$B$5004,$K61)="","",INDEX(Transactions!$B$5:$B$5004,$K61)))</f>
        <v/>
      </c>
      <c r="E61" s="96" t="str">
        <f aca="false">IF($K61="","",IF(INDEX(Transactions!$C$5:$C$5004,$K61)="","",INDEX(Transactions!$C$5:$C$5004,$K61)))</f>
        <v/>
      </c>
      <c r="F61" s="96" t="str">
        <f aca="false">IF($K61="","",IF(INDEX(Transactions!$D$5:$D$5004,$K61)="","",INDEX(Transactions!$D$5:$D$5004,$K61)))</f>
        <v/>
      </c>
      <c r="G61" s="97" t="str">
        <f aca="false">IF($K61="","",IF(INDEX(Transactions!$E$5:$E$5004,$K61)="","",INDEX(Transactions!$E$5:$E$5004,$K61)))</f>
        <v/>
      </c>
      <c r="H61" s="96" t="str">
        <f aca="false">IF($K61="","",IF(INDEX(Transactions!$F$5:$F$5004,$K61)="","",INDEX(Transactions!$F$5:$F$5004,$K61)))</f>
        <v/>
      </c>
      <c r="I61" s="96" t="str">
        <f aca="false">IF($K61="","",IF(INDEX(Transactions!$G$5:$G$5004,$K61)="","",INDEX(Transactions!$G$5:$G$5004,$K61)))</f>
        <v/>
      </c>
      <c r="K61" s="98" t="str">
        <f aca="false">IFERROR(MATCH(47,Transactions!$H$5:$H$5004,0),"")</f>
        <v/>
      </c>
    </row>
    <row r="62" customFormat="false" ht="15" hidden="false" customHeight="false" outlineLevel="0" collapsed="false">
      <c r="B62" s="93" t="str">
        <f aca="false">IF($K62="","",48)</f>
        <v/>
      </c>
      <c r="C62" s="94" t="str">
        <f aca="false">IF($K62="","",IF(INDEX(Transactions!$A$5:$A$5004,$K62)="","",INDEX(Transactions!$A$5:$A$5004,$K62)))</f>
        <v/>
      </c>
      <c r="D62" s="95" t="str">
        <f aca="false">IF($K62="","",IF(INDEX(Transactions!$B$5:$B$5004,$K62)="","",INDEX(Transactions!$B$5:$B$5004,$K62)))</f>
        <v/>
      </c>
      <c r="E62" s="96" t="str">
        <f aca="false">IF($K62="","",IF(INDEX(Transactions!$C$5:$C$5004,$K62)="","",INDEX(Transactions!$C$5:$C$5004,$K62)))</f>
        <v/>
      </c>
      <c r="F62" s="96" t="str">
        <f aca="false">IF($K62="","",IF(INDEX(Transactions!$D$5:$D$5004,$K62)="","",INDEX(Transactions!$D$5:$D$5004,$K62)))</f>
        <v/>
      </c>
      <c r="G62" s="97" t="str">
        <f aca="false">IF($K62="","",IF(INDEX(Transactions!$E$5:$E$5004,$K62)="","",INDEX(Transactions!$E$5:$E$5004,$K62)))</f>
        <v/>
      </c>
      <c r="H62" s="96" t="str">
        <f aca="false">IF($K62="","",IF(INDEX(Transactions!$F$5:$F$5004,$K62)="","",INDEX(Transactions!$F$5:$F$5004,$K62)))</f>
        <v/>
      </c>
      <c r="I62" s="96" t="str">
        <f aca="false">IF($K62="","",IF(INDEX(Transactions!$G$5:$G$5004,$K62)="","",INDEX(Transactions!$G$5:$G$5004,$K62)))</f>
        <v/>
      </c>
      <c r="K62" s="98" t="str">
        <f aca="false">IFERROR(MATCH(48,Transactions!$H$5:$H$5004,0),"")</f>
        <v/>
      </c>
    </row>
    <row r="63" customFormat="false" ht="15" hidden="false" customHeight="false" outlineLevel="0" collapsed="false">
      <c r="B63" s="93" t="str">
        <f aca="false">IF($K63="","",49)</f>
        <v/>
      </c>
      <c r="C63" s="94" t="str">
        <f aca="false">IF($K63="","",IF(INDEX(Transactions!$A$5:$A$5004,$K63)="","",INDEX(Transactions!$A$5:$A$5004,$K63)))</f>
        <v/>
      </c>
      <c r="D63" s="95" t="str">
        <f aca="false">IF($K63="","",IF(INDEX(Transactions!$B$5:$B$5004,$K63)="","",INDEX(Transactions!$B$5:$B$5004,$K63)))</f>
        <v/>
      </c>
      <c r="E63" s="96" t="str">
        <f aca="false">IF($K63="","",IF(INDEX(Transactions!$C$5:$C$5004,$K63)="","",INDEX(Transactions!$C$5:$C$5004,$K63)))</f>
        <v/>
      </c>
      <c r="F63" s="96" t="str">
        <f aca="false">IF($K63="","",IF(INDEX(Transactions!$D$5:$D$5004,$K63)="","",INDEX(Transactions!$D$5:$D$5004,$K63)))</f>
        <v/>
      </c>
      <c r="G63" s="97" t="str">
        <f aca="false">IF($K63="","",IF(INDEX(Transactions!$E$5:$E$5004,$K63)="","",INDEX(Transactions!$E$5:$E$5004,$K63)))</f>
        <v/>
      </c>
      <c r="H63" s="96" t="str">
        <f aca="false">IF($K63="","",IF(INDEX(Transactions!$F$5:$F$5004,$K63)="","",INDEX(Transactions!$F$5:$F$5004,$K63)))</f>
        <v/>
      </c>
      <c r="I63" s="96" t="str">
        <f aca="false">IF($K63="","",IF(INDEX(Transactions!$G$5:$G$5004,$K63)="","",INDEX(Transactions!$G$5:$G$5004,$K63)))</f>
        <v/>
      </c>
      <c r="K63" s="98" t="str">
        <f aca="false">IFERROR(MATCH(49,Transactions!$H$5:$H$5004,0),"")</f>
        <v/>
      </c>
    </row>
    <row r="64" customFormat="false" ht="15" hidden="false" customHeight="false" outlineLevel="0" collapsed="false">
      <c r="B64" s="93" t="str">
        <f aca="false">IF($K64="","",50)</f>
        <v/>
      </c>
      <c r="C64" s="94" t="str">
        <f aca="false">IF($K64="","",IF(INDEX(Transactions!$A$5:$A$5004,$K64)="","",INDEX(Transactions!$A$5:$A$5004,$K64)))</f>
        <v/>
      </c>
      <c r="D64" s="95" t="str">
        <f aca="false">IF($K64="","",IF(INDEX(Transactions!$B$5:$B$5004,$K64)="","",INDEX(Transactions!$B$5:$B$5004,$K64)))</f>
        <v/>
      </c>
      <c r="E64" s="96" t="str">
        <f aca="false">IF($K64="","",IF(INDEX(Transactions!$C$5:$C$5004,$K64)="","",INDEX(Transactions!$C$5:$C$5004,$K64)))</f>
        <v/>
      </c>
      <c r="F64" s="96" t="str">
        <f aca="false">IF($K64="","",IF(INDEX(Transactions!$D$5:$D$5004,$K64)="","",INDEX(Transactions!$D$5:$D$5004,$K64)))</f>
        <v/>
      </c>
      <c r="G64" s="97" t="str">
        <f aca="false">IF($K64="","",IF(INDEX(Transactions!$E$5:$E$5004,$K64)="","",INDEX(Transactions!$E$5:$E$5004,$K64)))</f>
        <v/>
      </c>
      <c r="H64" s="96" t="str">
        <f aca="false">IF($K64="","",IF(INDEX(Transactions!$F$5:$F$5004,$K64)="","",INDEX(Transactions!$F$5:$F$5004,$K64)))</f>
        <v/>
      </c>
      <c r="I64" s="96" t="str">
        <f aca="false">IF($K64="","",IF(INDEX(Transactions!$G$5:$G$5004,$K64)="","",INDEX(Transactions!$G$5:$G$5004,$K64)))</f>
        <v/>
      </c>
      <c r="K64" s="98" t="str">
        <f aca="false">IFERROR(MATCH(50,Transactions!$H$5:$H$5004,0),"")</f>
        <v/>
      </c>
    </row>
    <row r="65" customFormat="false" ht="15" hidden="false" customHeight="false" outlineLevel="0" collapsed="false">
      <c r="B65" s="93" t="str">
        <f aca="false">IF($K65="","",51)</f>
        <v/>
      </c>
      <c r="C65" s="94" t="str">
        <f aca="false">IF($K65="","",IF(INDEX(Transactions!$A$5:$A$5004,$K65)="","",INDEX(Transactions!$A$5:$A$5004,$K65)))</f>
        <v/>
      </c>
      <c r="D65" s="95" t="str">
        <f aca="false">IF($K65="","",IF(INDEX(Transactions!$B$5:$B$5004,$K65)="","",INDEX(Transactions!$B$5:$B$5004,$K65)))</f>
        <v/>
      </c>
      <c r="E65" s="96" t="str">
        <f aca="false">IF($K65="","",IF(INDEX(Transactions!$C$5:$C$5004,$K65)="","",INDEX(Transactions!$C$5:$C$5004,$K65)))</f>
        <v/>
      </c>
      <c r="F65" s="96" t="str">
        <f aca="false">IF($K65="","",IF(INDEX(Transactions!$D$5:$D$5004,$K65)="","",INDEX(Transactions!$D$5:$D$5004,$K65)))</f>
        <v/>
      </c>
      <c r="G65" s="97" t="str">
        <f aca="false">IF($K65="","",IF(INDEX(Transactions!$E$5:$E$5004,$K65)="","",INDEX(Transactions!$E$5:$E$5004,$K65)))</f>
        <v/>
      </c>
      <c r="H65" s="96" t="str">
        <f aca="false">IF($K65="","",IF(INDEX(Transactions!$F$5:$F$5004,$K65)="","",INDEX(Transactions!$F$5:$F$5004,$K65)))</f>
        <v/>
      </c>
      <c r="I65" s="96" t="str">
        <f aca="false">IF($K65="","",IF(INDEX(Transactions!$G$5:$G$5004,$K65)="","",INDEX(Transactions!$G$5:$G$5004,$K65)))</f>
        <v/>
      </c>
      <c r="K65" s="98" t="str">
        <f aca="false">IFERROR(MATCH(51,Transactions!$H$5:$H$5004,0),"")</f>
        <v/>
      </c>
    </row>
    <row r="66" customFormat="false" ht="15" hidden="false" customHeight="false" outlineLevel="0" collapsed="false">
      <c r="B66" s="93" t="str">
        <f aca="false">IF($K66="","",52)</f>
        <v/>
      </c>
      <c r="C66" s="94" t="str">
        <f aca="false">IF($K66="","",IF(INDEX(Transactions!$A$5:$A$5004,$K66)="","",INDEX(Transactions!$A$5:$A$5004,$K66)))</f>
        <v/>
      </c>
      <c r="D66" s="95" t="str">
        <f aca="false">IF($K66="","",IF(INDEX(Transactions!$B$5:$B$5004,$K66)="","",INDEX(Transactions!$B$5:$B$5004,$K66)))</f>
        <v/>
      </c>
      <c r="E66" s="96" t="str">
        <f aca="false">IF($K66="","",IF(INDEX(Transactions!$C$5:$C$5004,$K66)="","",INDEX(Transactions!$C$5:$C$5004,$K66)))</f>
        <v/>
      </c>
      <c r="F66" s="96" t="str">
        <f aca="false">IF($K66="","",IF(INDEX(Transactions!$D$5:$D$5004,$K66)="","",INDEX(Transactions!$D$5:$D$5004,$K66)))</f>
        <v/>
      </c>
      <c r="G66" s="97" t="str">
        <f aca="false">IF($K66="","",IF(INDEX(Transactions!$E$5:$E$5004,$K66)="","",INDEX(Transactions!$E$5:$E$5004,$K66)))</f>
        <v/>
      </c>
      <c r="H66" s="96" t="str">
        <f aca="false">IF($K66="","",IF(INDEX(Transactions!$F$5:$F$5004,$K66)="","",INDEX(Transactions!$F$5:$F$5004,$K66)))</f>
        <v/>
      </c>
      <c r="I66" s="96" t="str">
        <f aca="false">IF($K66="","",IF(INDEX(Transactions!$G$5:$G$5004,$K66)="","",INDEX(Transactions!$G$5:$G$5004,$K66)))</f>
        <v/>
      </c>
      <c r="K66" s="98" t="str">
        <f aca="false">IFERROR(MATCH(52,Transactions!$H$5:$H$5004,0),"")</f>
        <v/>
      </c>
    </row>
    <row r="67" customFormat="false" ht="15" hidden="false" customHeight="false" outlineLevel="0" collapsed="false">
      <c r="B67" s="93" t="str">
        <f aca="false">IF($K67="","",53)</f>
        <v/>
      </c>
      <c r="C67" s="94" t="str">
        <f aca="false">IF($K67="","",IF(INDEX(Transactions!$A$5:$A$5004,$K67)="","",INDEX(Transactions!$A$5:$A$5004,$K67)))</f>
        <v/>
      </c>
      <c r="D67" s="95" t="str">
        <f aca="false">IF($K67="","",IF(INDEX(Transactions!$B$5:$B$5004,$K67)="","",INDEX(Transactions!$B$5:$B$5004,$K67)))</f>
        <v/>
      </c>
      <c r="E67" s="96" t="str">
        <f aca="false">IF($K67="","",IF(INDEX(Transactions!$C$5:$C$5004,$K67)="","",INDEX(Transactions!$C$5:$C$5004,$K67)))</f>
        <v/>
      </c>
      <c r="F67" s="96" t="str">
        <f aca="false">IF($K67="","",IF(INDEX(Transactions!$D$5:$D$5004,$K67)="","",INDEX(Transactions!$D$5:$D$5004,$K67)))</f>
        <v/>
      </c>
      <c r="G67" s="97" t="str">
        <f aca="false">IF($K67="","",IF(INDEX(Transactions!$E$5:$E$5004,$K67)="","",INDEX(Transactions!$E$5:$E$5004,$K67)))</f>
        <v/>
      </c>
      <c r="H67" s="96" t="str">
        <f aca="false">IF($K67="","",IF(INDEX(Transactions!$F$5:$F$5004,$K67)="","",INDEX(Transactions!$F$5:$F$5004,$K67)))</f>
        <v/>
      </c>
      <c r="I67" s="96" t="str">
        <f aca="false">IF($K67="","",IF(INDEX(Transactions!$G$5:$G$5004,$K67)="","",INDEX(Transactions!$G$5:$G$5004,$K67)))</f>
        <v/>
      </c>
      <c r="K67" s="98" t="str">
        <f aca="false">IFERROR(MATCH(53,Transactions!$H$5:$H$5004,0),"")</f>
        <v/>
      </c>
    </row>
    <row r="68" customFormat="false" ht="15" hidden="false" customHeight="false" outlineLevel="0" collapsed="false">
      <c r="B68" s="93" t="str">
        <f aca="false">IF($K68="","",54)</f>
        <v/>
      </c>
      <c r="C68" s="94" t="str">
        <f aca="false">IF($K68="","",IF(INDEX(Transactions!$A$5:$A$5004,$K68)="","",INDEX(Transactions!$A$5:$A$5004,$K68)))</f>
        <v/>
      </c>
      <c r="D68" s="95" t="str">
        <f aca="false">IF($K68="","",IF(INDEX(Transactions!$B$5:$B$5004,$K68)="","",INDEX(Transactions!$B$5:$B$5004,$K68)))</f>
        <v/>
      </c>
      <c r="E68" s="96" t="str">
        <f aca="false">IF($K68="","",IF(INDEX(Transactions!$C$5:$C$5004,$K68)="","",INDEX(Transactions!$C$5:$C$5004,$K68)))</f>
        <v/>
      </c>
      <c r="F68" s="96" t="str">
        <f aca="false">IF($K68="","",IF(INDEX(Transactions!$D$5:$D$5004,$K68)="","",INDEX(Transactions!$D$5:$D$5004,$K68)))</f>
        <v/>
      </c>
      <c r="G68" s="97" t="str">
        <f aca="false">IF($K68="","",IF(INDEX(Transactions!$E$5:$E$5004,$K68)="","",INDEX(Transactions!$E$5:$E$5004,$K68)))</f>
        <v/>
      </c>
      <c r="H68" s="96" t="str">
        <f aca="false">IF($K68="","",IF(INDEX(Transactions!$F$5:$F$5004,$K68)="","",INDEX(Transactions!$F$5:$F$5004,$K68)))</f>
        <v/>
      </c>
      <c r="I68" s="96" t="str">
        <f aca="false">IF($K68="","",IF(INDEX(Transactions!$G$5:$G$5004,$K68)="","",INDEX(Transactions!$G$5:$G$5004,$K68)))</f>
        <v/>
      </c>
      <c r="K68" s="98" t="str">
        <f aca="false">IFERROR(MATCH(54,Transactions!$H$5:$H$5004,0),"")</f>
        <v/>
      </c>
    </row>
    <row r="69" customFormat="false" ht="15" hidden="false" customHeight="false" outlineLevel="0" collapsed="false">
      <c r="B69" s="93" t="str">
        <f aca="false">IF($K69="","",55)</f>
        <v/>
      </c>
      <c r="C69" s="94" t="str">
        <f aca="false">IF($K69="","",IF(INDEX(Transactions!$A$5:$A$5004,$K69)="","",INDEX(Transactions!$A$5:$A$5004,$K69)))</f>
        <v/>
      </c>
      <c r="D69" s="95" t="str">
        <f aca="false">IF($K69="","",IF(INDEX(Transactions!$B$5:$B$5004,$K69)="","",INDEX(Transactions!$B$5:$B$5004,$K69)))</f>
        <v/>
      </c>
      <c r="E69" s="96" t="str">
        <f aca="false">IF($K69="","",IF(INDEX(Transactions!$C$5:$C$5004,$K69)="","",INDEX(Transactions!$C$5:$C$5004,$K69)))</f>
        <v/>
      </c>
      <c r="F69" s="96" t="str">
        <f aca="false">IF($K69="","",IF(INDEX(Transactions!$D$5:$D$5004,$K69)="","",INDEX(Transactions!$D$5:$D$5004,$K69)))</f>
        <v/>
      </c>
      <c r="G69" s="97" t="str">
        <f aca="false">IF($K69="","",IF(INDEX(Transactions!$E$5:$E$5004,$K69)="","",INDEX(Transactions!$E$5:$E$5004,$K69)))</f>
        <v/>
      </c>
      <c r="H69" s="96" t="str">
        <f aca="false">IF($K69="","",IF(INDEX(Transactions!$F$5:$F$5004,$K69)="","",INDEX(Transactions!$F$5:$F$5004,$K69)))</f>
        <v/>
      </c>
      <c r="I69" s="96" t="str">
        <f aca="false">IF($K69="","",IF(INDEX(Transactions!$G$5:$G$5004,$K69)="","",INDEX(Transactions!$G$5:$G$5004,$K69)))</f>
        <v/>
      </c>
      <c r="K69" s="98" t="str">
        <f aca="false">IFERROR(MATCH(55,Transactions!$H$5:$H$5004,0),"")</f>
        <v/>
      </c>
    </row>
    <row r="70" customFormat="false" ht="15" hidden="false" customHeight="false" outlineLevel="0" collapsed="false">
      <c r="B70" s="93" t="str">
        <f aca="false">IF($K70="","",56)</f>
        <v/>
      </c>
      <c r="C70" s="94" t="str">
        <f aca="false">IF($K70="","",IF(INDEX(Transactions!$A$5:$A$5004,$K70)="","",INDEX(Transactions!$A$5:$A$5004,$K70)))</f>
        <v/>
      </c>
      <c r="D70" s="95" t="str">
        <f aca="false">IF($K70="","",IF(INDEX(Transactions!$B$5:$B$5004,$K70)="","",INDEX(Transactions!$B$5:$B$5004,$K70)))</f>
        <v/>
      </c>
      <c r="E70" s="96" t="str">
        <f aca="false">IF($K70="","",IF(INDEX(Transactions!$C$5:$C$5004,$K70)="","",INDEX(Transactions!$C$5:$C$5004,$K70)))</f>
        <v/>
      </c>
      <c r="F70" s="96" t="str">
        <f aca="false">IF($K70="","",IF(INDEX(Transactions!$D$5:$D$5004,$K70)="","",INDEX(Transactions!$D$5:$D$5004,$K70)))</f>
        <v/>
      </c>
      <c r="G70" s="97" t="str">
        <f aca="false">IF($K70="","",IF(INDEX(Transactions!$E$5:$E$5004,$K70)="","",INDEX(Transactions!$E$5:$E$5004,$K70)))</f>
        <v/>
      </c>
      <c r="H70" s="96" t="str">
        <f aca="false">IF($K70="","",IF(INDEX(Transactions!$F$5:$F$5004,$K70)="","",INDEX(Transactions!$F$5:$F$5004,$K70)))</f>
        <v/>
      </c>
      <c r="I70" s="96" t="str">
        <f aca="false">IF($K70="","",IF(INDEX(Transactions!$G$5:$G$5004,$K70)="","",INDEX(Transactions!$G$5:$G$5004,$K70)))</f>
        <v/>
      </c>
      <c r="K70" s="98" t="str">
        <f aca="false">IFERROR(MATCH(56,Transactions!$H$5:$H$5004,0),"")</f>
        <v/>
      </c>
    </row>
    <row r="71" customFormat="false" ht="15" hidden="false" customHeight="false" outlineLevel="0" collapsed="false">
      <c r="B71" s="93" t="str">
        <f aca="false">IF($K71="","",57)</f>
        <v/>
      </c>
      <c r="C71" s="94" t="str">
        <f aca="false">IF($K71="","",IF(INDEX(Transactions!$A$5:$A$5004,$K71)="","",INDEX(Transactions!$A$5:$A$5004,$K71)))</f>
        <v/>
      </c>
      <c r="D71" s="95" t="str">
        <f aca="false">IF($K71="","",IF(INDEX(Transactions!$B$5:$B$5004,$K71)="","",INDEX(Transactions!$B$5:$B$5004,$K71)))</f>
        <v/>
      </c>
      <c r="E71" s="96" t="str">
        <f aca="false">IF($K71="","",IF(INDEX(Transactions!$C$5:$C$5004,$K71)="","",INDEX(Transactions!$C$5:$C$5004,$K71)))</f>
        <v/>
      </c>
      <c r="F71" s="96" t="str">
        <f aca="false">IF($K71="","",IF(INDEX(Transactions!$D$5:$D$5004,$K71)="","",INDEX(Transactions!$D$5:$D$5004,$K71)))</f>
        <v/>
      </c>
      <c r="G71" s="97" t="str">
        <f aca="false">IF($K71="","",IF(INDEX(Transactions!$E$5:$E$5004,$K71)="","",INDEX(Transactions!$E$5:$E$5004,$K71)))</f>
        <v/>
      </c>
      <c r="H71" s="96" t="str">
        <f aca="false">IF($K71="","",IF(INDEX(Transactions!$F$5:$F$5004,$K71)="","",INDEX(Transactions!$F$5:$F$5004,$K71)))</f>
        <v/>
      </c>
      <c r="I71" s="96" t="str">
        <f aca="false">IF($K71="","",IF(INDEX(Transactions!$G$5:$G$5004,$K71)="","",INDEX(Transactions!$G$5:$G$5004,$K71)))</f>
        <v/>
      </c>
      <c r="K71" s="98" t="str">
        <f aca="false">IFERROR(MATCH(57,Transactions!$H$5:$H$5004,0),"")</f>
        <v/>
      </c>
    </row>
    <row r="72" customFormat="false" ht="15" hidden="false" customHeight="false" outlineLevel="0" collapsed="false">
      <c r="B72" s="93" t="str">
        <f aca="false">IF($K72="","",58)</f>
        <v/>
      </c>
      <c r="C72" s="94" t="str">
        <f aca="false">IF($K72="","",IF(INDEX(Transactions!$A$5:$A$5004,$K72)="","",INDEX(Transactions!$A$5:$A$5004,$K72)))</f>
        <v/>
      </c>
      <c r="D72" s="95" t="str">
        <f aca="false">IF($K72="","",IF(INDEX(Transactions!$B$5:$B$5004,$K72)="","",INDEX(Transactions!$B$5:$B$5004,$K72)))</f>
        <v/>
      </c>
      <c r="E72" s="96" t="str">
        <f aca="false">IF($K72="","",IF(INDEX(Transactions!$C$5:$C$5004,$K72)="","",INDEX(Transactions!$C$5:$C$5004,$K72)))</f>
        <v/>
      </c>
      <c r="F72" s="96" t="str">
        <f aca="false">IF($K72="","",IF(INDEX(Transactions!$D$5:$D$5004,$K72)="","",INDEX(Transactions!$D$5:$D$5004,$K72)))</f>
        <v/>
      </c>
      <c r="G72" s="97" t="str">
        <f aca="false">IF($K72="","",IF(INDEX(Transactions!$E$5:$E$5004,$K72)="","",INDEX(Transactions!$E$5:$E$5004,$K72)))</f>
        <v/>
      </c>
      <c r="H72" s="96" t="str">
        <f aca="false">IF($K72="","",IF(INDEX(Transactions!$F$5:$F$5004,$K72)="","",INDEX(Transactions!$F$5:$F$5004,$K72)))</f>
        <v/>
      </c>
      <c r="I72" s="96" t="str">
        <f aca="false">IF($K72="","",IF(INDEX(Transactions!$G$5:$G$5004,$K72)="","",INDEX(Transactions!$G$5:$G$5004,$K72)))</f>
        <v/>
      </c>
      <c r="K72" s="98" t="str">
        <f aca="false">IFERROR(MATCH(58,Transactions!$H$5:$H$5004,0),"")</f>
        <v/>
      </c>
    </row>
    <row r="73" customFormat="false" ht="15" hidden="false" customHeight="false" outlineLevel="0" collapsed="false">
      <c r="B73" s="93" t="str">
        <f aca="false">IF($K73="","",59)</f>
        <v/>
      </c>
      <c r="C73" s="94" t="str">
        <f aca="false">IF($K73="","",IF(INDEX(Transactions!$A$5:$A$5004,$K73)="","",INDEX(Transactions!$A$5:$A$5004,$K73)))</f>
        <v/>
      </c>
      <c r="D73" s="95" t="str">
        <f aca="false">IF($K73="","",IF(INDEX(Transactions!$B$5:$B$5004,$K73)="","",INDEX(Transactions!$B$5:$B$5004,$K73)))</f>
        <v/>
      </c>
      <c r="E73" s="96" t="str">
        <f aca="false">IF($K73="","",IF(INDEX(Transactions!$C$5:$C$5004,$K73)="","",INDEX(Transactions!$C$5:$C$5004,$K73)))</f>
        <v/>
      </c>
      <c r="F73" s="96" t="str">
        <f aca="false">IF($K73="","",IF(INDEX(Transactions!$D$5:$D$5004,$K73)="","",INDEX(Transactions!$D$5:$D$5004,$K73)))</f>
        <v/>
      </c>
      <c r="G73" s="97" t="str">
        <f aca="false">IF($K73="","",IF(INDEX(Transactions!$E$5:$E$5004,$K73)="","",INDEX(Transactions!$E$5:$E$5004,$K73)))</f>
        <v/>
      </c>
      <c r="H73" s="96" t="str">
        <f aca="false">IF($K73="","",IF(INDEX(Transactions!$F$5:$F$5004,$K73)="","",INDEX(Transactions!$F$5:$F$5004,$K73)))</f>
        <v/>
      </c>
      <c r="I73" s="96" t="str">
        <f aca="false">IF($K73="","",IF(INDEX(Transactions!$G$5:$G$5004,$K73)="","",INDEX(Transactions!$G$5:$G$5004,$K73)))</f>
        <v/>
      </c>
      <c r="K73" s="98" t="str">
        <f aca="false">IFERROR(MATCH(59,Transactions!$H$5:$H$5004,0),"")</f>
        <v/>
      </c>
    </row>
    <row r="74" customFormat="false" ht="15" hidden="false" customHeight="false" outlineLevel="0" collapsed="false">
      <c r="B74" s="93" t="str">
        <f aca="false">IF($K74="","",60)</f>
        <v/>
      </c>
      <c r="C74" s="94" t="str">
        <f aca="false">IF($K74="","",IF(INDEX(Transactions!$A$5:$A$5004,$K74)="","",INDEX(Transactions!$A$5:$A$5004,$K74)))</f>
        <v/>
      </c>
      <c r="D74" s="95" t="str">
        <f aca="false">IF($K74="","",IF(INDEX(Transactions!$B$5:$B$5004,$K74)="","",INDEX(Transactions!$B$5:$B$5004,$K74)))</f>
        <v/>
      </c>
      <c r="E74" s="96" t="str">
        <f aca="false">IF($K74="","",IF(INDEX(Transactions!$C$5:$C$5004,$K74)="","",INDEX(Transactions!$C$5:$C$5004,$K74)))</f>
        <v/>
      </c>
      <c r="F74" s="96" t="str">
        <f aca="false">IF($K74="","",IF(INDEX(Transactions!$D$5:$D$5004,$K74)="","",INDEX(Transactions!$D$5:$D$5004,$K74)))</f>
        <v/>
      </c>
      <c r="G74" s="97" t="str">
        <f aca="false">IF($K74="","",IF(INDEX(Transactions!$E$5:$E$5004,$K74)="","",INDEX(Transactions!$E$5:$E$5004,$K74)))</f>
        <v/>
      </c>
      <c r="H74" s="96" t="str">
        <f aca="false">IF($K74="","",IF(INDEX(Transactions!$F$5:$F$5004,$K74)="","",INDEX(Transactions!$F$5:$F$5004,$K74)))</f>
        <v/>
      </c>
      <c r="I74" s="96" t="str">
        <f aca="false">IF($K74="","",IF(INDEX(Transactions!$G$5:$G$5004,$K74)="","",INDEX(Transactions!$G$5:$G$5004,$K74)))</f>
        <v/>
      </c>
      <c r="K74" s="98" t="str">
        <f aca="false">IFERROR(MATCH(60,Transactions!$H$5:$H$5004,0),"")</f>
        <v/>
      </c>
    </row>
    <row r="75" customFormat="false" ht="15" hidden="false" customHeight="false" outlineLevel="0" collapsed="false">
      <c r="B75" s="93" t="str">
        <f aca="false">IF($K75="","",61)</f>
        <v/>
      </c>
      <c r="C75" s="94" t="str">
        <f aca="false">IF($K75="","",IF(INDEX(Transactions!$A$5:$A$5004,$K75)="","",INDEX(Transactions!$A$5:$A$5004,$K75)))</f>
        <v/>
      </c>
      <c r="D75" s="95" t="str">
        <f aca="false">IF($K75="","",IF(INDEX(Transactions!$B$5:$B$5004,$K75)="","",INDEX(Transactions!$B$5:$B$5004,$K75)))</f>
        <v/>
      </c>
      <c r="E75" s="96" t="str">
        <f aca="false">IF($K75="","",IF(INDEX(Transactions!$C$5:$C$5004,$K75)="","",INDEX(Transactions!$C$5:$C$5004,$K75)))</f>
        <v/>
      </c>
      <c r="F75" s="96" t="str">
        <f aca="false">IF($K75="","",IF(INDEX(Transactions!$D$5:$D$5004,$K75)="","",INDEX(Transactions!$D$5:$D$5004,$K75)))</f>
        <v/>
      </c>
      <c r="G75" s="97" t="str">
        <f aca="false">IF($K75="","",IF(INDEX(Transactions!$E$5:$E$5004,$K75)="","",INDEX(Transactions!$E$5:$E$5004,$K75)))</f>
        <v/>
      </c>
      <c r="H75" s="96" t="str">
        <f aca="false">IF($K75="","",IF(INDEX(Transactions!$F$5:$F$5004,$K75)="","",INDEX(Transactions!$F$5:$F$5004,$K75)))</f>
        <v/>
      </c>
      <c r="I75" s="96" t="str">
        <f aca="false">IF($K75="","",IF(INDEX(Transactions!$G$5:$G$5004,$K75)="","",INDEX(Transactions!$G$5:$G$5004,$K75)))</f>
        <v/>
      </c>
      <c r="K75" s="98" t="str">
        <f aca="false">IFERROR(MATCH(61,Transactions!$H$5:$H$5004,0),"")</f>
        <v/>
      </c>
    </row>
    <row r="76" customFormat="false" ht="15" hidden="false" customHeight="false" outlineLevel="0" collapsed="false">
      <c r="B76" s="93" t="str">
        <f aca="false">IF($K76="","",62)</f>
        <v/>
      </c>
      <c r="C76" s="94" t="str">
        <f aca="false">IF($K76="","",IF(INDEX(Transactions!$A$5:$A$5004,$K76)="","",INDEX(Transactions!$A$5:$A$5004,$K76)))</f>
        <v/>
      </c>
      <c r="D76" s="95" t="str">
        <f aca="false">IF($K76="","",IF(INDEX(Transactions!$B$5:$B$5004,$K76)="","",INDEX(Transactions!$B$5:$B$5004,$K76)))</f>
        <v/>
      </c>
      <c r="E76" s="96" t="str">
        <f aca="false">IF($K76="","",IF(INDEX(Transactions!$C$5:$C$5004,$K76)="","",INDEX(Transactions!$C$5:$C$5004,$K76)))</f>
        <v/>
      </c>
      <c r="F76" s="96" t="str">
        <f aca="false">IF($K76="","",IF(INDEX(Transactions!$D$5:$D$5004,$K76)="","",INDEX(Transactions!$D$5:$D$5004,$K76)))</f>
        <v/>
      </c>
      <c r="G76" s="97" t="str">
        <f aca="false">IF($K76="","",IF(INDEX(Transactions!$E$5:$E$5004,$K76)="","",INDEX(Transactions!$E$5:$E$5004,$K76)))</f>
        <v/>
      </c>
      <c r="H76" s="96" t="str">
        <f aca="false">IF($K76="","",IF(INDEX(Transactions!$F$5:$F$5004,$K76)="","",INDEX(Transactions!$F$5:$F$5004,$K76)))</f>
        <v/>
      </c>
      <c r="I76" s="96" t="str">
        <f aca="false">IF($K76="","",IF(INDEX(Transactions!$G$5:$G$5004,$K76)="","",INDEX(Transactions!$G$5:$G$5004,$K76)))</f>
        <v/>
      </c>
      <c r="K76" s="98" t="str">
        <f aca="false">IFERROR(MATCH(62,Transactions!$H$5:$H$5004,0),"")</f>
        <v/>
      </c>
    </row>
    <row r="77" customFormat="false" ht="15" hidden="false" customHeight="false" outlineLevel="0" collapsed="false">
      <c r="B77" s="93" t="str">
        <f aca="false">IF($K77="","",63)</f>
        <v/>
      </c>
      <c r="C77" s="94" t="str">
        <f aca="false">IF($K77="","",IF(INDEX(Transactions!$A$5:$A$5004,$K77)="","",INDEX(Transactions!$A$5:$A$5004,$K77)))</f>
        <v/>
      </c>
      <c r="D77" s="95" t="str">
        <f aca="false">IF($K77="","",IF(INDEX(Transactions!$B$5:$B$5004,$K77)="","",INDEX(Transactions!$B$5:$B$5004,$K77)))</f>
        <v/>
      </c>
      <c r="E77" s="96" t="str">
        <f aca="false">IF($K77="","",IF(INDEX(Transactions!$C$5:$C$5004,$K77)="","",INDEX(Transactions!$C$5:$C$5004,$K77)))</f>
        <v/>
      </c>
      <c r="F77" s="96" t="str">
        <f aca="false">IF($K77="","",IF(INDEX(Transactions!$D$5:$D$5004,$K77)="","",INDEX(Transactions!$D$5:$D$5004,$K77)))</f>
        <v/>
      </c>
      <c r="G77" s="97" t="str">
        <f aca="false">IF($K77="","",IF(INDEX(Transactions!$E$5:$E$5004,$K77)="","",INDEX(Transactions!$E$5:$E$5004,$K77)))</f>
        <v/>
      </c>
      <c r="H77" s="96" t="str">
        <f aca="false">IF($K77="","",IF(INDEX(Transactions!$F$5:$F$5004,$K77)="","",INDEX(Transactions!$F$5:$F$5004,$K77)))</f>
        <v/>
      </c>
      <c r="I77" s="96" t="str">
        <f aca="false">IF($K77="","",IF(INDEX(Transactions!$G$5:$G$5004,$K77)="","",INDEX(Transactions!$G$5:$G$5004,$K77)))</f>
        <v/>
      </c>
      <c r="K77" s="98" t="str">
        <f aca="false">IFERROR(MATCH(63,Transactions!$H$5:$H$5004,0),"")</f>
        <v/>
      </c>
    </row>
    <row r="78" customFormat="false" ht="15" hidden="false" customHeight="false" outlineLevel="0" collapsed="false">
      <c r="B78" s="93" t="str">
        <f aca="false">IF($K78="","",64)</f>
        <v/>
      </c>
      <c r="C78" s="94" t="str">
        <f aca="false">IF($K78="","",IF(INDEX(Transactions!$A$5:$A$5004,$K78)="","",INDEX(Transactions!$A$5:$A$5004,$K78)))</f>
        <v/>
      </c>
      <c r="D78" s="95" t="str">
        <f aca="false">IF($K78="","",IF(INDEX(Transactions!$B$5:$B$5004,$K78)="","",INDEX(Transactions!$B$5:$B$5004,$K78)))</f>
        <v/>
      </c>
      <c r="E78" s="96" t="str">
        <f aca="false">IF($K78="","",IF(INDEX(Transactions!$C$5:$C$5004,$K78)="","",INDEX(Transactions!$C$5:$C$5004,$K78)))</f>
        <v/>
      </c>
      <c r="F78" s="96" t="str">
        <f aca="false">IF($K78="","",IF(INDEX(Transactions!$D$5:$D$5004,$K78)="","",INDEX(Transactions!$D$5:$D$5004,$K78)))</f>
        <v/>
      </c>
      <c r="G78" s="97" t="str">
        <f aca="false">IF($K78="","",IF(INDEX(Transactions!$E$5:$E$5004,$K78)="","",INDEX(Transactions!$E$5:$E$5004,$K78)))</f>
        <v/>
      </c>
      <c r="H78" s="96" t="str">
        <f aca="false">IF($K78="","",IF(INDEX(Transactions!$F$5:$F$5004,$K78)="","",INDEX(Transactions!$F$5:$F$5004,$K78)))</f>
        <v/>
      </c>
      <c r="I78" s="96" t="str">
        <f aca="false">IF($K78="","",IF(INDEX(Transactions!$G$5:$G$5004,$K78)="","",INDEX(Transactions!$G$5:$G$5004,$K78)))</f>
        <v/>
      </c>
      <c r="K78" s="98" t="str">
        <f aca="false">IFERROR(MATCH(64,Transactions!$H$5:$H$5004,0),"")</f>
        <v/>
      </c>
    </row>
    <row r="79" customFormat="false" ht="15" hidden="false" customHeight="false" outlineLevel="0" collapsed="false">
      <c r="B79" s="93" t="str">
        <f aca="false">IF($K79="","",65)</f>
        <v/>
      </c>
      <c r="C79" s="94" t="str">
        <f aca="false">IF($K79="","",IF(INDEX(Transactions!$A$5:$A$5004,$K79)="","",INDEX(Transactions!$A$5:$A$5004,$K79)))</f>
        <v/>
      </c>
      <c r="D79" s="95" t="str">
        <f aca="false">IF($K79="","",IF(INDEX(Transactions!$B$5:$B$5004,$K79)="","",INDEX(Transactions!$B$5:$B$5004,$K79)))</f>
        <v/>
      </c>
      <c r="E79" s="96" t="str">
        <f aca="false">IF($K79="","",IF(INDEX(Transactions!$C$5:$C$5004,$K79)="","",INDEX(Transactions!$C$5:$C$5004,$K79)))</f>
        <v/>
      </c>
      <c r="F79" s="96" t="str">
        <f aca="false">IF($K79="","",IF(INDEX(Transactions!$D$5:$D$5004,$K79)="","",INDEX(Transactions!$D$5:$D$5004,$K79)))</f>
        <v/>
      </c>
      <c r="G79" s="97" t="str">
        <f aca="false">IF($K79="","",IF(INDEX(Transactions!$E$5:$E$5004,$K79)="","",INDEX(Transactions!$E$5:$E$5004,$K79)))</f>
        <v/>
      </c>
      <c r="H79" s="96" t="str">
        <f aca="false">IF($K79="","",IF(INDEX(Transactions!$F$5:$F$5004,$K79)="","",INDEX(Transactions!$F$5:$F$5004,$K79)))</f>
        <v/>
      </c>
      <c r="I79" s="96" t="str">
        <f aca="false">IF($K79="","",IF(INDEX(Transactions!$G$5:$G$5004,$K79)="","",INDEX(Transactions!$G$5:$G$5004,$K79)))</f>
        <v/>
      </c>
      <c r="K79" s="98" t="str">
        <f aca="false">IFERROR(MATCH(65,Transactions!$H$5:$H$5004,0),"")</f>
        <v/>
      </c>
    </row>
    <row r="80" customFormat="false" ht="15" hidden="false" customHeight="false" outlineLevel="0" collapsed="false">
      <c r="B80" s="93" t="str">
        <f aca="false">IF($K80="","",66)</f>
        <v/>
      </c>
      <c r="C80" s="94" t="str">
        <f aca="false">IF($K80="","",IF(INDEX(Transactions!$A$5:$A$5004,$K80)="","",INDEX(Transactions!$A$5:$A$5004,$K80)))</f>
        <v/>
      </c>
      <c r="D80" s="95" t="str">
        <f aca="false">IF($K80="","",IF(INDEX(Transactions!$B$5:$B$5004,$K80)="","",INDEX(Transactions!$B$5:$B$5004,$K80)))</f>
        <v/>
      </c>
      <c r="E80" s="96" t="str">
        <f aca="false">IF($K80="","",IF(INDEX(Transactions!$C$5:$C$5004,$K80)="","",INDEX(Transactions!$C$5:$C$5004,$K80)))</f>
        <v/>
      </c>
      <c r="F80" s="96" t="str">
        <f aca="false">IF($K80="","",IF(INDEX(Transactions!$D$5:$D$5004,$K80)="","",INDEX(Transactions!$D$5:$D$5004,$K80)))</f>
        <v/>
      </c>
      <c r="G80" s="97" t="str">
        <f aca="false">IF($K80="","",IF(INDEX(Transactions!$E$5:$E$5004,$K80)="","",INDEX(Transactions!$E$5:$E$5004,$K80)))</f>
        <v/>
      </c>
      <c r="H80" s="96" t="str">
        <f aca="false">IF($K80="","",IF(INDEX(Transactions!$F$5:$F$5004,$K80)="","",INDEX(Transactions!$F$5:$F$5004,$K80)))</f>
        <v/>
      </c>
      <c r="I80" s="96" t="str">
        <f aca="false">IF($K80="","",IF(INDEX(Transactions!$G$5:$G$5004,$K80)="","",INDEX(Transactions!$G$5:$G$5004,$K80)))</f>
        <v/>
      </c>
      <c r="K80" s="98" t="str">
        <f aca="false">IFERROR(MATCH(66,Transactions!$H$5:$H$5004,0),"")</f>
        <v/>
      </c>
    </row>
    <row r="81" customFormat="false" ht="15" hidden="false" customHeight="false" outlineLevel="0" collapsed="false">
      <c r="B81" s="93" t="str">
        <f aca="false">IF($K81="","",67)</f>
        <v/>
      </c>
      <c r="C81" s="94" t="str">
        <f aca="false">IF($K81="","",IF(INDEX(Transactions!$A$5:$A$5004,$K81)="","",INDEX(Transactions!$A$5:$A$5004,$K81)))</f>
        <v/>
      </c>
      <c r="D81" s="95" t="str">
        <f aca="false">IF($K81="","",IF(INDEX(Transactions!$B$5:$B$5004,$K81)="","",INDEX(Transactions!$B$5:$B$5004,$K81)))</f>
        <v/>
      </c>
      <c r="E81" s="96" t="str">
        <f aca="false">IF($K81="","",IF(INDEX(Transactions!$C$5:$C$5004,$K81)="","",INDEX(Transactions!$C$5:$C$5004,$K81)))</f>
        <v/>
      </c>
      <c r="F81" s="96" t="str">
        <f aca="false">IF($K81="","",IF(INDEX(Transactions!$D$5:$D$5004,$K81)="","",INDEX(Transactions!$D$5:$D$5004,$K81)))</f>
        <v/>
      </c>
      <c r="G81" s="97" t="str">
        <f aca="false">IF($K81="","",IF(INDEX(Transactions!$E$5:$E$5004,$K81)="","",INDEX(Transactions!$E$5:$E$5004,$K81)))</f>
        <v/>
      </c>
      <c r="H81" s="96" t="str">
        <f aca="false">IF($K81="","",IF(INDEX(Transactions!$F$5:$F$5004,$K81)="","",INDEX(Transactions!$F$5:$F$5004,$K81)))</f>
        <v/>
      </c>
      <c r="I81" s="96" t="str">
        <f aca="false">IF($K81="","",IF(INDEX(Transactions!$G$5:$G$5004,$K81)="","",INDEX(Transactions!$G$5:$G$5004,$K81)))</f>
        <v/>
      </c>
      <c r="K81" s="98" t="str">
        <f aca="false">IFERROR(MATCH(67,Transactions!$H$5:$H$5004,0),"")</f>
        <v/>
      </c>
    </row>
    <row r="82" customFormat="false" ht="15" hidden="false" customHeight="false" outlineLevel="0" collapsed="false">
      <c r="B82" s="93" t="str">
        <f aca="false">IF($K82="","",68)</f>
        <v/>
      </c>
      <c r="C82" s="94" t="str">
        <f aca="false">IF($K82="","",IF(INDEX(Transactions!$A$5:$A$5004,$K82)="","",INDEX(Transactions!$A$5:$A$5004,$K82)))</f>
        <v/>
      </c>
      <c r="D82" s="95" t="str">
        <f aca="false">IF($K82="","",IF(INDEX(Transactions!$B$5:$B$5004,$K82)="","",INDEX(Transactions!$B$5:$B$5004,$K82)))</f>
        <v/>
      </c>
      <c r="E82" s="96" t="str">
        <f aca="false">IF($K82="","",IF(INDEX(Transactions!$C$5:$C$5004,$K82)="","",INDEX(Transactions!$C$5:$C$5004,$K82)))</f>
        <v/>
      </c>
      <c r="F82" s="96" t="str">
        <f aca="false">IF($K82="","",IF(INDEX(Transactions!$D$5:$D$5004,$K82)="","",INDEX(Transactions!$D$5:$D$5004,$K82)))</f>
        <v/>
      </c>
      <c r="G82" s="97" t="str">
        <f aca="false">IF($K82="","",IF(INDEX(Transactions!$E$5:$E$5004,$K82)="","",INDEX(Transactions!$E$5:$E$5004,$K82)))</f>
        <v/>
      </c>
      <c r="H82" s="96" t="str">
        <f aca="false">IF($K82="","",IF(INDEX(Transactions!$F$5:$F$5004,$K82)="","",INDEX(Transactions!$F$5:$F$5004,$K82)))</f>
        <v/>
      </c>
      <c r="I82" s="96" t="str">
        <f aca="false">IF($K82="","",IF(INDEX(Transactions!$G$5:$G$5004,$K82)="","",INDEX(Transactions!$G$5:$G$5004,$K82)))</f>
        <v/>
      </c>
      <c r="K82" s="98" t="str">
        <f aca="false">IFERROR(MATCH(68,Transactions!$H$5:$H$5004,0),"")</f>
        <v/>
      </c>
    </row>
    <row r="83" customFormat="false" ht="15" hidden="false" customHeight="false" outlineLevel="0" collapsed="false">
      <c r="B83" s="93" t="str">
        <f aca="false">IF($K83="","",69)</f>
        <v/>
      </c>
      <c r="C83" s="94" t="str">
        <f aca="false">IF($K83="","",IF(INDEX(Transactions!$A$5:$A$5004,$K83)="","",INDEX(Transactions!$A$5:$A$5004,$K83)))</f>
        <v/>
      </c>
      <c r="D83" s="95" t="str">
        <f aca="false">IF($K83="","",IF(INDEX(Transactions!$B$5:$B$5004,$K83)="","",INDEX(Transactions!$B$5:$B$5004,$K83)))</f>
        <v/>
      </c>
      <c r="E83" s="96" t="str">
        <f aca="false">IF($K83="","",IF(INDEX(Transactions!$C$5:$C$5004,$K83)="","",INDEX(Transactions!$C$5:$C$5004,$K83)))</f>
        <v/>
      </c>
      <c r="F83" s="96" t="str">
        <f aca="false">IF($K83="","",IF(INDEX(Transactions!$D$5:$D$5004,$K83)="","",INDEX(Transactions!$D$5:$D$5004,$K83)))</f>
        <v/>
      </c>
      <c r="G83" s="97" t="str">
        <f aca="false">IF($K83="","",IF(INDEX(Transactions!$E$5:$E$5004,$K83)="","",INDEX(Transactions!$E$5:$E$5004,$K83)))</f>
        <v/>
      </c>
      <c r="H83" s="96" t="str">
        <f aca="false">IF($K83="","",IF(INDEX(Transactions!$F$5:$F$5004,$K83)="","",INDEX(Transactions!$F$5:$F$5004,$K83)))</f>
        <v/>
      </c>
      <c r="I83" s="96" t="str">
        <f aca="false">IF($K83="","",IF(INDEX(Transactions!$G$5:$G$5004,$K83)="","",INDEX(Transactions!$G$5:$G$5004,$K83)))</f>
        <v/>
      </c>
      <c r="K83" s="98" t="str">
        <f aca="false">IFERROR(MATCH(69,Transactions!$H$5:$H$5004,0),"")</f>
        <v/>
      </c>
    </row>
    <row r="84" customFormat="false" ht="15" hidden="false" customHeight="false" outlineLevel="0" collapsed="false">
      <c r="B84" s="93" t="str">
        <f aca="false">IF($K84="","",70)</f>
        <v/>
      </c>
      <c r="C84" s="94" t="str">
        <f aca="false">IF($K84="","",IF(INDEX(Transactions!$A$5:$A$5004,$K84)="","",INDEX(Transactions!$A$5:$A$5004,$K84)))</f>
        <v/>
      </c>
      <c r="D84" s="95" t="str">
        <f aca="false">IF($K84="","",IF(INDEX(Transactions!$B$5:$B$5004,$K84)="","",INDEX(Transactions!$B$5:$B$5004,$K84)))</f>
        <v/>
      </c>
      <c r="E84" s="96" t="str">
        <f aca="false">IF($K84="","",IF(INDEX(Transactions!$C$5:$C$5004,$K84)="","",INDEX(Transactions!$C$5:$C$5004,$K84)))</f>
        <v/>
      </c>
      <c r="F84" s="96" t="str">
        <f aca="false">IF($K84="","",IF(INDEX(Transactions!$D$5:$D$5004,$K84)="","",INDEX(Transactions!$D$5:$D$5004,$K84)))</f>
        <v/>
      </c>
      <c r="G84" s="97" t="str">
        <f aca="false">IF($K84="","",IF(INDEX(Transactions!$E$5:$E$5004,$K84)="","",INDEX(Transactions!$E$5:$E$5004,$K84)))</f>
        <v/>
      </c>
      <c r="H84" s="96" t="str">
        <f aca="false">IF($K84="","",IF(INDEX(Transactions!$F$5:$F$5004,$K84)="","",INDEX(Transactions!$F$5:$F$5004,$K84)))</f>
        <v/>
      </c>
      <c r="I84" s="96" t="str">
        <f aca="false">IF($K84="","",IF(INDEX(Transactions!$G$5:$G$5004,$K84)="","",INDEX(Transactions!$G$5:$G$5004,$K84)))</f>
        <v/>
      </c>
      <c r="K84" s="98" t="str">
        <f aca="false">IFERROR(MATCH(70,Transactions!$H$5:$H$5004,0),"")</f>
        <v/>
      </c>
    </row>
    <row r="85" customFormat="false" ht="15" hidden="false" customHeight="false" outlineLevel="0" collapsed="false">
      <c r="B85" s="93" t="str">
        <f aca="false">IF($K85="","",71)</f>
        <v/>
      </c>
      <c r="C85" s="94" t="str">
        <f aca="false">IF($K85="","",IF(INDEX(Transactions!$A$5:$A$5004,$K85)="","",INDEX(Transactions!$A$5:$A$5004,$K85)))</f>
        <v/>
      </c>
      <c r="D85" s="95" t="str">
        <f aca="false">IF($K85="","",IF(INDEX(Transactions!$B$5:$B$5004,$K85)="","",INDEX(Transactions!$B$5:$B$5004,$K85)))</f>
        <v/>
      </c>
      <c r="E85" s="96" t="str">
        <f aca="false">IF($K85="","",IF(INDEX(Transactions!$C$5:$C$5004,$K85)="","",INDEX(Transactions!$C$5:$C$5004,$K85)))</f>
        <v/>
      </c>
      <c r="F85" s="96" t="str">
        <f aca="false">IF($K85="","",IF(INDEX(Transactions!$D$5:$D$5004,$K85)="","",INDEX(Transactions!$D$5:$D$5004,$K85)))</f>
        <v/>
      </c>
      <c r="G85" s="97" t="str">
        <f aca="false">IF($K85="","",IF(INDEX(Transactions!$E$5:$E$5004,$K85)="","",INDEX(Transactions!$E$5:$E$5004,$K85)))</f>
        <v/>
      </c>
      <c r="H85" s="96" t="str">
        <f aca="false">IF($K85="","",IF(INDEX(Transactions!$F$5:$F$5004,$K85)="","",INDEX(Transactions!$F$5:$F$5004,$K85)))</f>
        <v/>
      </c>
      <c r="I85" s="96" t="str">
        <f aca="false">IF($K85="","",IF(INDEX(Transactions!$G$5:$G$5004,$K85)="","",INDEX(Transactions!$G$5:$G$5004,$K85)))</f>
        <v/>
      </c>
      <c r="K85" s="98" t="str">
        <f aca="false">IFERROR(MATCH(71,Transactions!$H$5:$H$5004,0),"")</f>
        <v/>
      </c>
    </row>
    <row r="86" customFormat="false" ht="15" hidden="false" customHeight="false" outlineLevel="0" collapsed="false">
      <c r="B86" s="93" t="str">
        <f aca="false">IF($K86="","",72)</f>
        <v/>
      </c>
      <c r="C86" s="94" t="str">
        <f aca="false">IF($K86="","",IF(INDEX(Transactions!$A$5:$A$5004,$K86)="","",INDEX(Transactions!$A$5:$A$5004,$K86)))</f>
        <v/>
      </c>
      <c r="D86" s="95" t="str">
        <f aca="false">IF($K86="","",IF(INDEX(Transactions!$B$5:$B$5004,$K86)="","",INDEX(Transactions!$B$5:$B$5004,$K86)))</f>
        <v/>
      </c>
      <c r="E86" s="96" t="str">
        <f aca="false">IF($K86="","",IF(INDEX(Transactions!$C$5:$C$5004,$K86)="","",INDEX(Transactions!$C$5:$C$5004,$K86)))</f>
        <v/>
      </c>
      <c r="F86" s="96" t="str">
        <f aca="false">IF($K86="","",IF(INDEX(Transactions!$D$5:$D$5004,$K86)="","",INDEX(Transactions!$D$5:$D$5004,$K86)))</f>
        <v/>
      </c>
      <c r="G86" s="97" t="str">
        <f aca="false">IF($K86="","",IF(INDEX(Transactions!$E$5:$E$5004,$K86)="","",INDEX(Transactions!$E$5:$E$5004,$K86)))</f>
        <v/>
      </c>
      <c r="H86" s="96" t="str">
        <f aca="false">IF($K86="","",IF(INDEX(Transactions!$F$5:$F$5004,$K86)="","",INDEX(Transactions!$F$5:$F$5004,$K86)))</f>
        <v/>
      </c>
      <c r="I86" s="96" t="str">
        <f aca="false">IF($K86="","",IF(INDEX(Transactions!$G$5:$G$5004,$K86)="","",INDEX(Transactions!$G$5:$G$5004,$K86)))</f>
        <v/>
      </c>
      <c r="K86" s="98" t="str">
        <f aca="false">IFERROR(MATCH(72,Transactions!$H$5:$H$5004,0),"")</f>
        <v/>
      </c>
    </row>
    <row r="87" customFormat="false" ht="15" hidden="false" customHeight="false" outlineLevel="0" collapsed="false">
      <c r="B87" s="93" t="str">
        <f aca="false">IF($K87="","",73)</f>
        <v/>
      </c>
      <c r="C87" s="94" t="str">
        <f aca="false">IF($K87="","",IF(INDEX(Transactions!$A$5:$A$5004,$K87)="","",INDEX(Transactions!$A$5:$A$5004,$K87)))</f>
        <v/>
      </c>
      <c r="D87" s="95" t="str">
        <f aca="false">IF($K87="","",IF(INDEX(Transactions!$B$5:$B$5004,$K87)="","",INDEX(Transactions!$B$5:$B$5004,$K87)))</f>
        <v/>
      </c>
      <c r="E87" s="96" t="str">
        <f aca="false">IF($K87="","",IF(INDEX(Transactions!$C$5:$C$5004,$K87)="","",INDEX(Transactions!$C$5:$C$5004,$K87)))</f>
        <v/>
      </c>
      <c r="F87" s="96" t="str">
        <f aca="false">IF($K87="","",IF(INDEX(Transactions!$D$5:$D$5004,$K87)="","",INDEX(Transactions!$D$5:$D$5004,$K87)))</f>
        <v/>
      </c>
      <c r="G87" s="97" t="str">
        <f aca="false">IF($K87="","",IF(INDEX(Transactions!$E$5:$E$5004,$K87)="","",INDEX(Transactions!$E$5:$E$5004,$K87)))</f>
        <v/>
      </c>
      <c r="H87" s="96" t="str">
        <f aca="false">IF($K87="","",IF(INDEX(Transactions!$F$5:$F$5004,$K87)="","",INDEX(Transactions!$F$5:$F$5004,$K87)))</f>
        <v/>
      </c>
      <c r="I87" s="96" t="str">
        <f aca="false">IF($K87="","",IF(INDEX(Transactions!$G$5:$G$5004,$K87)="","",INDEX(Transactions!$G$5:$G$5004,$K87)))</f>
        <v/>
      </c>
      <c r="K87" s="98" t="str">
        <f aca="false">IFERROR(MATCH(73,Transactions!$H$5:$H$5004,0),"")</f>
        <v/>
      </c>
    </row>
    <row r="88" customFormat="false" ht="15" hidden="false" customHeight="false" outlineLevel="0" collapsed="false">
      <c r="B88" s="93" t="str">
        <f aca="false">IF($K88="","",74)</f>
        <v/>
      </c>
      <c r="C88" s="94" t="str">
        <f aca="false">IF($K88="","",IF(INDEX(Transactions!$A$5:$A$5004,$K88)="","",INDEX(Transactions!$A$5:$A$5004,$K88)))</f>
        <v/>
      </c>
      <c r="D88" s="95" t="str">
        <f aca="false">IF($K88="","",IF(INDEX(Transactions!$B$5:$B$5004,$K88)="","",INDEX(Transactions!$B$5:$B$5004,$K88)))</f>
        <v/>
      </c>
      <c r="E88" s="96" t="str">
        <f aca="false">IF($K88="","",IF(INDEX(Transactions!$C$5:$C$5004,$K88)="","",INDEX(Transactions!$C$5:$C$5004,$K88)))</f>
        <v/>
      </c>
      <c r="F88" s="96" t="str">
        <f aca="false">IF($K88="","",IF(INDEX(Transactions!$D$5:$D$5004,$K88)="","",INDEX(Transactions!$D$5:$D$5004,$K88)))</f>
        <v/>
      </c>
      <c r="G88" s="97" t="str">
        <f aca="false">IF($K88="","",IF(INDEX(Transactions!$E$5:$E$5004,$K88)="","",INDEX(Transactions!$E$5:$E$5004,$K88)))</f>
        <v/>
      </c>
      <c r="H88" s="96" t="str">
        <f aca="false">IF($K88="","",IF(INDEX(Transactions!$F$5:$F$5004,$K88)="","",INDEX(Transactions!$F$5:$F$5004,$K88)))</f>
        <v/>
      </c>
      <c r="I88" s="96" t="str">
        <f aca="false">IF($K88="","",IF(INDEX(Transactions!$G$5:$G$5004,$K88)="","",INDEX(Transactions!$G$5:$G$5004,$K88)))</f>
        <v/>
      </c>
      <c r="K88" s="98" t="str">
        <f aca="false">IFERROR(MATCH(74,Transactions!$H$5:$H$5004,0),"")</f>
        <v/>
      </c>
    </row>
    <row r="89" customFormat="false" ht="15" hidden="false" customHeight="false" outlineLevel="0" collapsed="false">
      <c r="B89" s="93" t="str">
        <f aca="false">IF($K89="","",75)</f>
        <v/>
      </c>
      <c r="C89" s="94" t="str">
        <f aca="false">IF($K89="","",IF(INDEX(Transactions!$A$5:$A$5004,$K89)="","",INDEX(Transactions!$A$5:$A$5004,$K89)))</f>
        <v/>
      </c>
      <c r="D89" s="95" t="str">
        <f aca="false">IF($K89="","",IF(INDEX(Transactions!$B$5:$B$5004,$K89)="","",INDEX(Transactions!$B$5:$B$5004,$K89)))</f>
        <v/>
      </c>
      <c r="E89" s="96" t="str">
        <f aca="false">IF($K89="","",IF(INDEX(Transactions!$C$5:$C$5004,$K89)="","",INDEX(Transactions!$C$5:$C$5004,$K89)))</f>
        <v/>
      </c>
      <c r="F89" s="96" t="str">
        <f aca="false">IF($K89="","",IF(INDEX(Transactions!$D$5:$D$5004,$K89)="","",INDEX(Transactions!$D$5:$D$5004,$K89)))</f>
        <v/>
      </c>
      <c r="G89" s="97" t="str">
        <f aca="false">IF($K89="","",IF(INDEX(Transactions!$E$5:$E$5004,$K89)="","",INDEX(Transactions!$E$5:$E$5004,$K89)))</f>
        <v/>
      </c>
      <c r="H89" s="96" t="str">
        <f aca="false">IF($K89="","",IF(INDEX(Transactions!$F$5:$F$5004,$K89)="","",INDEX(Transactions!$F$5:$F$5004,$K89)))</f>
        <v/>
      </c>
      <c r="I89" s="96" t="str">
        <f aca="false">IF($K89="","",IF(INDEX(Transactions!$G$5:$G$5004,$K89)="","",INDEX(Transactions!$G$5:$G$5004,$K89)))</f>
        <v/>
      </c>
      <c r="K89" s="98" t="str">
        <f aca="false">IFERROR(MATCH(75,Transactions!$H$5:$H$5004,0),"")</f>
        <v/>
      </c>
    </row>
    <row r="90" customFormat="false" ht="15" hidden="false" customHeight="false" outlineLevel="0" collapsed="false">
      <c r="B90" s="93" t="str">
        <f aca="false">IF($K90="","",76)</f>
        <v/>
      </c>
      <c r="C90" s="94" t="str">
        <f aca="false">IF($K90="","",IF(INDEX(Transactions!$A$5:$A$5004,$K90)="","",INDEX(Transactions!$A$5:$A$5004,$K90)))</f>
        <v/>
      </c>
      <c r="D90" s="95" t="str">
        <f aca="false">IF($K90="","",IF(INDEX(Transactions!$B$5:$B$5004,$K90)="","",INDEX(Transactions!$B$5:$B$5004,$K90)))</f>
        <v/>
      </c>
      <c r="E90" s="96" t="str">
        <f aca="false">IF($K90="","",IF(INDEX(Transactions!$C$5:$C$5004,$K90)="","",INDEX(Transactions!$C$5:$C$5004,$K90)))</f>
        <v/>
      </c>
      <c r="F90" s="96" t="str">
        <f aca="false">IF($K90="","",IF(INDEX(Transactions!$D$5:$D$5004,$K90)="","",INDEX(Transactions!$D$5:$D$5004,$K90)))</f>
        <v/>
      </c>
      <c r="G90" s="97" t="str">
        <f aca="false">IF($K90="","",IF(INDEX(Transactions!$E$5:$E$5004,$K90)="","",INDEX(Transactions!$E$5:$E$5004,$K90)))</f>
        <v/>
      </c>
      <c r="H90" s="96" t="str">
        <f aca="false">IF($K90="","",IF(INDEX(Transactions!$F$5:$F$5004,$K90)="","",INDEX(Transactions!$F$5:$F$5004,$K90)))</f>
        <v/>
      </c>
      <c r="I90" s="96" t="str">
        <f aca="false">IF($K90="","",IF(INDEX(Transactions!$G$5:$G$5004,$K90)="","",INDEX(Transactions!$G$5:$G$5004,$K90)))</f>
        <v/>
      </c>
      <c r="K90" s="98" t="str">
        <f aca="false">IFERROR(MATCH(76,Transactions!$H$5:$H$5004,0),"")</f>
        <v/>
      </c>
    </row>
    <row r="91" customFormat="false" ht="15" hidden="false" customHeight="false" outlineLevel="0" collapsed="false">
      <c r="B91" s="93" t="str">
        <f aca="false">IF($K91="","",77)</f>
        <v/>
      </c>
      <c r="C91" s="94" t="str">
        <f aca="false">IF($K91="","",IF(INDEX(Transactions!$A$5:$A$5004,$K91)="","",INDEX(Transactions!$A$5:$A$5004,$K91)))</f>
        <v/>
      </c>
      <c r="D91" s="95" t="str">
        <f aca="false">IF($K91="","",IF(INDEX(Transactions!$B$5:$B$5004,$K91)="","",INDEX(Transactions!$B$5:$B$5004,$K91)))</f>
        <v/>
      </c>
      <c r="E91" s="96" t="str">
        <f aca="false">IF($K91="","",IF(INDEX(Transactions!$C$5:$C$5004,$K91)="","",INDEX(Transactions!$C$5:$C$5004,$K91)))</f>
        <v/>
      </c>
      <c r="F91" s="96" t="str">
        <f aca="false">IF($K91="","",IF(INDEX(Transactions!$D$5:$D$5004,$K91)="","",INDEX(Transactions!$D$5:$D$5004,$K91)))</f>
        <v/>
      </c>
      <c r="G91" s="97" t="str">
        <f aca="false">IF($K91="","",IF(INDEX(Transactions!$E$5:$E$5004,$K91)="","",INDEX(Transactions!$E$5:$E$5004,$K91)))</f>
        <v/>
      </c>
      <c r="H91" s="96" t="str">
        <f aca="false">IF($K91="","",IF(INDEX(Transactions!$F$5:$F$5004,$K91)="","",INDEX(Transactions!$F$5:$F$5004,$K91)))</f>
        <v/>
      </c>
      <c r="I91" s="96" t="str">
        <f aca="false">IF($K91="","",IF(INDEX(Transactions!$G$5:$G$5004,$K91)="","",INDEX(Transactions!$G$5:$G$5004,$K91)))</f>
        <v/>
      </c>
      <c r="K91" s="98" t="str">
        <f aca="false">IFERROR(MATCH(77,Transactions!$H$5:$H$5004,0),"")</f>
        <v/>
      </c>
    </row>
    <row r="92" customFormat="false" ht="15" hidden="false" customHeight="false" outlineLevel="0" collapsed="false">
      <c r="B92" s="93" t="str">
        <f aca="false">IF($K92="","",78)</f>
        <v/>
      </c>
      <c r="C92" s="94" t="str">
        <f aca="false">IF($K92="","",IF(INDEX(Transactions!$A$5:$A$5004,$K92)="","",INDEX(Transactions!$A$5:$A$5004,$K92)))</f>
        <v/>
      </c>
      <c r="D92" s="95" t="str">
        <f aca="false">IF($K92="","",IF(INDEX(Transactions!$B$5:$B$5004,$K92)="","",INDEX(Transactions!$B$5:$B$5004,$K92)))</f>
        <v/>
      </c>
      <c r="E92" s="96" t="str">
        <f aca="false">IF($K92="","",IF(INDEX(Transactions!$C$5:$C$5004,$K92)="","",INDEX(Transactions!$C$5:$C$5004,$K92)))</f>
        <v/>
      </c>
      <c r="F92" s="96" t="str">
        <f aca="false">IF($K92="","",IF(INDEX(Transactions!$D$5:$D$5004,$K92)="","",INDEX(Transactions!$D$5:$D$5004,$K92)))</f>
        <v/>
      </c>
      <c r="G92" s="97" t="str">
        <f aca="false">IF($K92="","",IF(INDEX(Transactions!$E$5:$E$5004,$K92)="","",INDEX(Transactions!$E$5:$E$5004,$K92)))</f>
        <v/>
      </c>
      <c r="H92" s="96" t="str">
        <f aca="false">IF($K92="","",IF(INDEX(Transactions!$F$5:$F$5004,$K92)="","",INDEX(Transactions!$F$5:$F$5004,$K92)))</f>
        <v/>
      </c>
      <c r="I92" s="96" t="str">
        <f aca="false">IF($K92="","",IF(INDEX(Transactions!$G$5:$G$5004,$K92)="","",INDEX(Transactions!$G$5:$G$5004,$K92)))</f>
        <v/>
      </c>
      <c r="K92" s="98" t="str">
        <f aca="false">IFERROR(MATCH(78,Transactions!$H$5:$H$5004,0),"")</f>
        <v/>
      </c>
    </row>
    <row r="93" customFormat="false" ht="15" hidden="false" customHeight="false" outlineLevel="0" collapsed="false">
      <c r="B93" s="93" t="str">
        <f aca="false">IF($K93="","",79)</f>
        <v/>
      </c>
      <c r="C93" s="94" t="str">
        <f aca="false">IF($K93="","",IF(INDEX(Transactions!$A$5:$A$5004,$K93)="","",INDEX(Transactions!$A$5:$A$5004,$K93)))</f>
        <v/>
      </c>
      <c r="D93" s="95" t="str">
        <f aca="false">IF($K93="","",IF(INDEX(Transactions!$B$5:$B$5004,$K93)="","",INDEX(Transactions!$B$5:$B$5004,$K93)))</f>
        <v/>
      </c>
      <c r="E93" s="96" t="str">
        <f aca="false">IF($K93="","",IF(INDEX(Transactions!$C$5:$C$5004,$K93)="","",INDEX(Transactions!$C$5:$C$5004,$K93)))</f>
        <v/>
      </c>
      <c r="F93" s="96" t="str">
        <f aca="false">IF($K93="","",IF(INDEX(Transactions!$D$5:$D$5004,$K93)="","",INDEX(Transactions!$D$5:$D$5004,$K93)))</f>
        <v/>
      </c>
      <c r="G93" s="97" t="str">
        <f aca="false">IF($K93="","",IF(INDEX(Transactions!$E$5:$E$5004,$K93)="","",INDEX(Transactions!$E$5:$E$5004,$K93)))</f>
        <v/>
      </c>
      <c r="H93" s="96" t="str">
        <f aca="false">IF($K93="","",IF(INDEX(Transactions!$F$5:$F$5004,$K93)="","",INDEX(Transactions!$F$5:$F$5004,$K93)))</f>
        <v/>
      </c>
      <c r="I93" s="96" t="str">
        <f aca="false">IF($K93="","",IF(INDEX(Transactions!$G$5:$G$5004,$K93)="","",INDEX(Transactions!$G$5:$G$5004,$K93)))</f>
        <v/>
      </c>
      <c r="K93" s="98" t="str">
        <f aca="false">IFERROR(MATCH(79,Transactions!$H$5:$H$5004,0),"")</f>
        <v/>
      </c>
    </row>
    <row r="94" customFormat="false" ht="15" hidden="false" customHeight="false" outlineLevel="0" collapsed="false">
      <c r="B94" s="93" t="str">
        <f aca="false">IF($K94="","",80)</f>
        <v/>
      </c>
      <c r="C94" s="94" t="str">
        <f aca="false">IF($K94="","",IF(INDEX(Transactions!$A$5:$A$5004,$K94)="","",INDEX(Transactions!$A$5:$A$5004,$K94)))</f>
        <v/>
      </c>
      <c r="D94" s="95" t="str">
        <f aca="false">IF($K94="","",IF(INDEX(Transactions!$B$5:$B$5004,$K94)="","",INDEX(Transactions!$B$5:$B$5004,$K94)))</f>
        <v/>
      </c>
      <c r="E94" s="96" t="str">
        <f aca="false">IF($K94="","",IF(INDEX(Transactions!$C$5:$C$5004,$K94)="","",INDEX(Transactions!$C$5:$C$5004,$K94)))</f>
        <v/>
      </c>
      <c r="F94" s="96" t="str">
        <f aca="false">IF($K94="","",IF(INDEX(Transactions!$D$5:$D$5004,$K94)="","",INDEX(Transactions!$D$5:$D$5004,$K94)))</f>
        <v/>
      </c>
      <c r="G94" s="97" t="str">
        <f aca="false">IF($K94="","",IF(INDEX(Transactions!$E$5:$E$5004,$K94)="","",INDEX(Transactions!$E$5:$E$5004,$K94)))</f>
        <v/>
      </c>
      <c r="H94" s="96" t="str">
        <f aca="false">IF($K94="","",IF(INDEX(Transactions!$F$5:$F$5004,$K94)="","",INDEX(Transactions!$F$5:$F$5004,$K94)))</f>
        <v/>
      </c>
      <c r="I94" s="96" t="str">
        <f aca="false">IF($K94="","",IF(INDEX(Transactions!$G$5:$G$5004,$K94)="","",INDEX(Transactions!$G$5:$G$5004,$K94)))</f>
        <v/>
      </c>
      <c r="K94" s="98" t="str">
        <f aca="false">IFERROR(MATCH(80,Transactions!$H$5:$H$5004,0),"")</f>
        <v/>
      </c>
    </row>
    <row r="95" customFormat="false" ht="15" hidden="false" customHeight="false" outlineLevel="0" collapsed="false">
      <c r="B95" s="93" t="str">
        <f aca="false">IF($K95="","",81)</f>
        <v/>
      </c>
      <c r="C95" s="94" t="str">
        <f aca="false">IF($K95="","",IF(INDEX(Transactions!$A$5:$A$5004,$K95)="","",INDEX(Transactions!$A$5:$A$5004,$K95)))</f>
        <v/>
      </c>
      <c r="D95" s="95" t="str">
        <f aca="false">IF($K95="","",IF(INDEX(Transactions!$B$5:$B$5004,$K95)="","",INDEX(Transactions!$B$5:$B$5004,$K95)))</f>
        <v/>
      </c>
      <c r="E95" s="96" t="str">
        <f aca="false">IF($K95="","",IF(INDEX(Transactions!$C$5:$C$5004,$K95)="","",INDEX(Transactions!$C$5:$C$5004,$K95)))</f>
        <v/>
      </c>
      <c r="F95" s="96" t="str">
        <f aca="false">IF($K95="","",IF(INDEX(Transactions!$D$5:$D$5004,$K95)="","",INDEX(Transactions!$D$5:$D$5004,$K95)))</f>
        <v/>
      </c>
      <c r="G95" s="97" t="str">
        <f aca="false">IF($K95="","",IF(INDEX(Transactions!$E$5:$E$5004,$K95)="","",INDEX(Transactions!$E$5:$E$5004,$K95)))</f>
        <v/>
      </c>
      <c r="H95" s="96" t="str">
        <f aca="false">IF($K95="","",IF(INDEX(Transactions!$F$5:$F$5004,$K95)="","",INDEX(Transactions!$F$5:$F$5004,$K95)))</f>
        <v/>
      </c>
      <c r="I95" s="96" t="str">
        <f aca="false">IF($K95="","",IF(INDEX(Transactions!$G$5:$G$5004,$K95)="","",INDEX(Transactions!$G$5:$G$5004,$K95)))</f>
        <v/>
      </c>
      <c r="K95" s="98" t="str">
        <f aca="false">IFERROR(MATCH(81,Transactions!$H$5:$H$5004,0),"")</f>
        <v/>
      </c>
    </row>
    <row r="96" customFormat="false" ht="15" hidden="false" customHeight="false" outlineLevel="0" collapsed="false">
      <c r="B96" s="93" t="str">
        <f aca="false">IF($K96="","",82)</f>
        <v/>
      </c>
      <c r="C96" s="94" t="str">
        <f aca="false">IF($K96="","",IF(INDEX(Transactions!$A$5:$A$5004,$K96)="","",INDEX(Transactions!$A$5:$A$5004,$K96)))</f>
        <v/>
      </c>
      <c r="D96" s="95" t="str">
        <f aca="false">IF($K96="","",IF(INDEX(Transactions!$B$5:$B$5004,$K96)="","",INDEX(Transactions!$B$5:$B$5004,$K96)))</f>
        <v/>
      </c>
      <c r="E96" s="96" t="str">
        <f aca="false">IF($K96="","",IF(INDEX(Transactions!$C$5:$C$5004,$K96)="","",INDEX(Transactions!$C$5:$C$5004,$K96)))</f>
        <v/>
      </c>
      <c r="F96" s="96" t="str">
        <f aca="false">IF($K96="","",IF(INDEX(Transactions!$D$5:$D$5004,$K96)="","",INDEX(Transactions!$D$5:$D$5004,$K96)))</f>
        <v/>
      </c>
      <c r="G96" s="97" t="str">
        <f aca="false">IF($K96="","",IF(INDEX(Transactions!$E$5:$E$5004,$K96)="","",INDEX(Transactions!$E$5:$E$5004,$K96)))</f>
        <v/>
      </c>
      <c r="H96" s="96" t="str">
        <f aca="false">IF($K96="","",IF(INDEX(Transactions!$F$5:$F$5004,$K96)="","",INDEX(Transactions!$F$5:$F$5004,$K96)))</f>
        <v/>
      </c>
      <c r="I96" s="96" t="str">
        <f aca="false">IF($K96="","",IF(INDEX(Transactions!$G$5:$G$5004,$K96)="","",INDEX(Transactions!$G$5:$G$5004,$K96)))</f>
        <v/>
      </c>
      <c r="K96" s="98" t="str">
        <f aca="false">IFERROR(MATCH(82,Transactions!$H$5:$H$5004,0),"")</f>
        <v/>
      </c>
    </row>
    <row r="97" customFormat="false" ht="15" hidden="false" customHeight="false" outlineLevel="0" collapsed="false">
      <c r="B97" s="93" t="str">
        <f aca="false">IF($K97="","",83)</f>
        <v/>
      </c>
      <c r="C97" s="94" t="str">
        <f aca="false">IF($K97="","",IF(INDEX(Transactions!$A$5:$A$5004,$K97)="","",INDEX(Transactions!$A$5:$A$5004,$K97)))</f>
        <v/>
      </c>
      <c r="D97" s="95" t="str">
        <f aca="false">IF($K97="","",IF(INDEX(Transactions!$B$5:$B$5004,$K97)="","",INDEX(Transactions!$B$5:$B$5004,$K97)))</f>
        <v/>
      </c>
      <c r="E97" s="96" t="str">
        <f aca="false">IF($K97="","",IF(INDEX(Transactions!$C$5:$C$5004,$K97)="","",INDEX(Transactions!$C$5:$C$5004,$K97)))</f>
        <v/>
      </c>
      <c r="F97" s="96" t="str">
        <f aca="false">IF($K97="","",IF(INDEX(Transactions!$D$5:$D$5004,$K97)="","",INDEX(Transactions!$D$5:$D$5004,$K97)))</f>
        <v/>
      </c>
      <c r="G97" s="97" t="str">
        <f aca="false">IF($K97="","",IF(INDEX(Transactions!$E$5:$E$5004,$K97)="","",INDEX(Transactions!$E$5:$E$5004,$K97)))</f>
        <v/>
      </c>
      <c r="H97" s="96" t="str">
        <f aca="false">IF($K97="","",IF(INDEX(Transactions!$F$5:$F$5004,$K97)="","",INDEX(Transactions!$F$5:$F$5004,$K97)))</f>
        <v/>
      </c>
      <c r="I97" s="96" t="str">
        <f aca="false">IF($K97="","",IF(INDEX(Transactions!$G$5:$G$5004,$K97)="","",INDEX(Transactions!$G$5:$G$5004,$K97)))</f>
        <v/>
      </c>
      <c r="K97" s="98" t="str">
        <f aca="false">IFERROR(MATCH(83,Transactions!$H$5:$H$5004,0),"")</f>
        <v/>
      </c>
    </row>
    <row r="98" customFormat="false" ht="15" hidden="false" customHeight="false" outlineLevel="0" collapsed="false">
      <c r="B98" s="93" t="str">
        <f aca="false">IF($K98="","",84)</f>
        <v/>
      </c>
      <c r="C98" s="94" t="str">
        <f aca="false">IF($K98="","",IF(INDEX(Transactions!$A$5:$A$5004,$K98)="","",INDEX(Transactions!$A$5:$A$5004,$K98)))</f>
        <v/>
      </c>
      <c r="D98" s="95" t="str">
        <f aca="false">IF($K98="","",IF(INDEX(Transactions!$B$5:$B$5004,$K98)="","",INDEX(Transactions!$B$5:$B$5004,$K98)))</f>
        <v/>
      </c>
      <c r="E98" s="96" t="str">
        <f aca="false">IF($K98="","",IF(INDEX(Transactions!$C$5:$C$5004,$K98)="","",INDEX(Transactions!$C$5:$C$5004,$K98)))</f>
        <v/>
      </c>
      <c r="F98" s="96" t="str">
        <f aca="false">IF($K98="","",IF(INDEX(Transactions!$D$5:$D$5004,$K98)="","",INDEX(Transactions!$D$5:$D$5004,$K98)))</f>
        <v/>
      </c>
      <c r="G98" s="97" t="str">
        <f aca="false">IF($K98="","",IF(INDEX(Transactions!$E$5:$E$5004,$K98)="","",INDEX(Transactions!$E$5:$E$5004,$K98)))</f>
        <v/>
      </c>
      <c r="H98" s="96" t="str">
        <f aca="false">IF($K98="","",IF(INDEX(Transactions!$F$5:$F$5004,$K98)="","",INDEX(Transactions!$F$5:$F$5004,$K98)))</f>
        <v/>
      </c>
      <c r="I98" s="96" t="str">
        <f aca="false">IF($K98="","",IF(INDEX(Transactions!$G$5:$G$5004,$K98)="","",INDEX(Transactions!$G$5:$G$5004,$K98)))</f>
        <v/>
      </c>
      <c r="K98" s="98" t="str">
        <f aca="false">IFERROR(MATCH(84,Transactions!$H$5:$H$5004,0),"")</f>
        <v/>
      </c>
    </row>
    <row r="99" customFormat="false" ht="15" hidden="false" customHeight="false" outlineLevel="0" collapsed="false">
      <c r="B99" s="93" t="str">
        <f aca="false">IF($K99="","",85)</f>
        <v/>
      </c>
      <c r="C99" s="94" t="str">
        <f aca="false">IF($K99="","",IF(INDEX(Transactions!$A$5:$A$5004,$K99)="","",INDEX(Transactions!$A$5:$A$5004,$K99)))</f>
        <v/>
      </c>
      <c r="D99" s="95" t="str">
        <f aca="false">IF($K99="","",IF(INDEX(Transactions!$B$5:$B$5004,$K99)="","",INDEX(Transactions!$B$5:$B$5004,$K99)))</f>
        <v/>
      </c>
      <c r="E99" s="96" t="str">
        <f aca="false">IF($K99="","",IF(INDEX(Transactions!$C$5:$C$5004,$K99)="","",INDEX(Transactions!$C$5:$C$5004,$K99)))</f>
        <v/>
      </c>
      <c r="F99" s="96" t="str">
        <f aca="false">IF($K99="","",IF(INDEX(Transactions!$D$5:$D$5004,$K99)="","",INDEX(Transactions!$D$5:$D$5004,$K99)))</f>
        <v/>
      </c>
      <c r="G99" s="97" t="str">
        <f aca="false">IF($K99="","",IF(INDEX(Transactions!$E$5:$E$5004,$K99)="","",INDEX(Transactions!$E$5:$E$5004,$K99)))</f>
        <v/>
      </c>
      <c r="H99" s="96" t="str">
        <f aca="false">IF($K99="","",IF(INDEX(Transactions!$F$5:$F$5004,$K99)="","",INDEX(Transactions!$F$5:$F$5004,$K99)))</f>
        <v/>
      </c>
      <c r="I99" s="96" t="str">
        <f aca="false">IF($K99="","",IF(INDEX(Transactions!$G$5:$G$5004,$K99)="","",INDEX(Transactions!$G$5:$G$5004,$K99)))</f>
        <v/>
      </c>
      <c r="K99" s="98" t="str">
        <f aca="false">IFERROR(MATCH(85,Transactions!$H$5:$H$5004,0),"")</f>
        <v/>
      </c>
    </row>
    <row r="100" customFormat="false" ht="15" hidden="false" customHeight="false" outlineLevel="0" collapsed="false">
      <c r="B100" s="93" t="str">
        <f aca="false">IF($K100="","",86)</f>
        <v/>
      </c>
      <c r="C100" s="94" t="str">
        <f aca="false">IF($K100="","",IF(INDEX(Transactions!$A$5:$A$5004,$K100)="","",INDEX(Transactions!$A$5:$A$5004,$K100)))</f>
        <v/>
      </c>
      <c r="D100" s="95" t="str">
        <f aca="false">IF($K100="","",IF(INDEX(Transactions!$B$5:$B$5004,$K100)="","",INDEX(Transactions!$B$5:$B$5004,$K100)))</f>
        <v/>
      </c>
      <c r="E100" s="96" t="str">
        <f aca="false">IF($K100="","",IF(INDEX(Transactions!$C$5:$C$5004,$K100)="","",INDEX(Transactions!$C$5:$C$5004,$K100)))</f>
        <v/>
      </c>
      <c r="F100" s="96" t="str">
        <f aca="false">IF($K100="","",IF(INDEX(Transactions!$D$5:$D$5004,$K100)="","",INDEX(Transactions!$D$5:$D$5004,$K100)))</f>
        <v/>
      </c>
      <c r="G100" s="97" t="str">
        <f aca="false">IF($K100="","",IF(INDEX(Transactions!$E$5:$E$5004,$K100)="","",INDEX(Transactions!$E$5:$E$5004,$K100)))</f>
        <v/>
      </c>
      <c r="H100" s="96" t="str">
        <f aca="false">IF($K100="","",IF(INDEX(Transactions!$F$5:$F$5004,$K100)="","",INDEX(Transactions!$F$5:$F$5004,$K100)))</f>
        <v/>
      </c>
      <c r="I100" s="96" t="str">
        <f aca="false">IF($K100="","",IF(INDEX(Transactions!$G$5:$G$5004,$K100)="","",INDEX(Transactions!$G$5:$G$5004,$K100)))</f>
        <v/>
      </c>
      <c r="K100" s="98" t="str">
        <f aca="false">IFERROR(MATCH(86,Transactions!$H$5:$H$5004,0),"")</f>
        <v/>
      </c>
    </row>
    <row r="101" customFormat="false" ht="15" hidden="false" customHeight="false" outlineLevel="0" collapsed="false">
      <c r="B101" s="93" t="str">
        <f aca="false">IF($K101="","",87)</f>
        <v/>
      </c>
      <c r="C101" s="94" t="str">
        <f aca="false">IF($K101="","",IF(INDEX(Transactions!$A$5:$A$5004,$K101)="","",INDEX(Transactions!$A$5:$A$5004,$K101)))</f>
        <v/>
      </c>
      <c r="D101" s="95" t="str">
        <f aca="false">IF($K101="","",IF(INDEX(Transactions!$B$5:$B$5004,$K101)="","",INDEX(Transactions!$B$5:$B$5004,$K101)))</f>
        <v/>
      </c>
      <c r="E101" s="96" t="str">
        <f aca="false">IF($K101="","",IF(INDEX(Transactions!$C$5:$C$5004,$K101)="","",INDEX(Transactions!$C$5:$C$5004,$K101)))</f>
        <v/>
      </c>
      <c r="F101" s="96" t="str">
        <f aca="false">IF($K101="","",IF(INDEX(Transactions!$D$5:$D$5004,$K101)="","",INDEX(Transactions!$D$5:$D$5004,$K101)))</f>
        <v/>
      </c>
      <c r="G101" s="97" t="str">
        <f aca="false">IF($K101="","",IF(INDEX(Transactions!$E$5:$E$5004,$K101)="","",INDEX(Transactions!$E$5:$E$5004,$K101)))</f>
        <v/>
      </c>
      <c r="H101" s="96" t="str">
        <f aca="false">IF($K101="","",IF(INDEX(Transactions!$F$5:$F$5004,$K101)="","",INDEX(Transactions!$F$5:$F$5004,$K101)))</f>
        <v/>
      </c>
      <c r="I101" s="96" t="str">
        <f aca="false">IF($K101="","",IF(INDEX(Transactions!$G$5:$G$5004,$K101)="","",INDEX(Transactions!$G$5:$G$5004,$K101)))</f>
        <v/>
      </c>
      <c r="K101" s="98" t="str">
        <f aca="false">IFERROR(MATCH(87,Transactions!$H$5:$H$5004,0),"")</f>
        <v/>
      </c>
    </row>
    <row r="102" customFormat="false" ht="15" hidden="false" customHeight="false" outlineLevel="0" collapsed="false">
      <c r="B102" s="93" t="str">
        <f aca="false">IF($K102="","",88)</f>
        <v/>
      </c>
      <c r="C102" s="94" t="str">
        <f aca="false">IF($K102="","",IF(INDEX(Transactions!$A$5:$A$5004,$K102)="","",INDEX(Transactions!$A$5:$A$5004,$K102)))</f>
        <v/>
      </c>
      <c r="D102" s="95" t="str">
        <f aca="false">IF($K102="","",IF(INDEX(Transactions!$B$5:$B$5004,$K102)="","",INDEX(Transactions!$B$5:$B$5004,$K102)))</f>
        <v/>
      </c>
      <c r="E102" s="96" t="str">
        <f aca="false">IF($K102="","",IF(INDEX(Transactions!$C$5:$C$5004,$K102)="","",INDEX(Transactions!$C$5:$C$5004,$K102)))</f>
        <v/>
      </c>
      <c r="F102" s="96" t="str">
        <f aca="false">IF($K102="","",IF(INDEX(Transactions!$D$5:$D$5004,$K102)="","",INDEX(Transactions!$D$5:$D$5004,$K102)))</f>
        <v/>
      </c>
      <c r="G102" s="97" t="str">
        <f aca="false">IF($K102="","",IF(INDEX(Transactions!$E$5:$E$5004,$K102)="","",INDEX(Transactions!$E$5:$E$5004,$K102)))</f>
        <v/>
      </c>
      <c r="H102" s="96" t="str">
        <f aca="false">IF($K102="","",IF(INDEX(Transactions!$F$5:$F$5004,$K102)="","",INDEX(Transactions!$F$5:$F$5004,$K102)))</f>
        <v/>
      </c>
      <c r="I102" s="96" t="str">
        <f aca="false">IF($K102="","",IF(INDEX(Transactions!$G$5:$G$5004,$K102)="","",INDEX(Transactions!$G$5:$G$5004,$K102)))</f>
        <v/>
      </c>
      <c r="K102" s="98" t="str">
        <f aca="false">IFERROR(MATCH(88,Transactions!$H$5:$H$5004,0),"")</f>
        <v/>
      </c>
    </row>
    <row r="103" customFormat="false" ht="15" hidden="false" customHeight="false" outlineLevel="0" collapsed="false">
      <c r="B103" s="93" t="str">
        <f aca="false">IF($K103="","",89)</f>
        <v/>
      </c>
      <c r="C103" s="94" t="str">
        <f aca="false">IF($K103="","",IF(INDEX(Transactions!$A$5:$A$5004,$K103)="","",INDEX(Transactions!$A$5:$A$5004,$K103)))</f>
        <v/>
      </c>
      <c r="D103" s="95" t="str">
        <f aca="false">IF($K103="","",IF(INDEX(Transactions!$B$5:$B$5004,$K103)="","",INDEX(Transactions!$B$5:$B$5004,$K103)))</f>
        <v/>
      </c>
      <c r="E103" s="96" t="str">
        <f aca="false">IF($K103="","",IF(INDEX(Transactions!$C$5:$C$5004,$K103)="","",INDEX(Transactions!$C$5:$C$5004,$K103)))</f>
        <v/>
      </c>
      <c r="F103" s="96" t="str">
        <f aca="false">IF($K103="","",IF(INDEX(Transactions!$D$5:$D$5004,$K103)="","",INDEX(Transactions!$D$5:$D$5004,$K103)))</f>
        <v/>
      </c>
      <c r="G103" s="97" t="str">
        <f aca="false">IF($K103="","",IF(INDEX(Transactions!$E$5:$E$5004,$K103)="","",INDEX(Transactions!$E$5:$E$5004,$K103)))</f>
        <v/>
      </c>
      <c r="H103" s="96" t="str">
        <f aca="false">IF($K103="","",IF(INDEX(Transactions!$F$5:$F$5004,$K103)="","",INDEX(Transactions!$F$5:$F$5004,$K103)))</f>
        <v/>
      </c>
      <c r="I103" s="96" t="str">
        <f aca="false">IF($K103="","",IF(INDEX(Transactions!$G$5:$G$5004,$K103)="","",INDEX(Transactions!$G$5:$G$5004,$K103)))</f>
        <v/>
      </c>
      <c r="K103" s="98" t="str">
        <f aca="false">IFERROR(MATCH(89,Transactions!$H$5:$H$5004,0),"")</f>
        <v/>
      </c>
    </row>
    <row r="104" customFormat="false" ht="15" hidden="false" customHeight="false" outlineLevel="0" collapsed="false">
      <c r="B104" s="93" t="str">
        <f aca="false">IF($K104="","",90)</f>
        <v/>
      </c>
      <c r="C104" s="94" t="str">
        <f aca="false">IF($K104="","",IF(INDEX(Transactions!$A$5:$A$5004,$K104)="","",INDEX(Transactions!$A$5:$A$5004,$K104)))</f>
        <v/>
      </c>
      <c r="D104" s="95" t="str">
        <f aca="false">IF($K104="","",IF(INDEX(Transactions!$B$5:$B$5004,$K104)="","",INDEX(Transactions!$B$5:$B$5004,$K104)))</f>
        <v/>
      </c>
      <c r="E104" s="96" t="str">
        <f aca="false">IF($K104="","",IF(INDEX(Transactions!$C$5:$C$5004,$K104)="","",INDEX(Transactions!$C$5:$C$5004,$K104)))</f>
        <v/>
      </c>
      <c r="F104" s="96" t="str">
        <f aca="false">IF($K104="","",IF(INDEX(Transactions!$D$5:$D$5004,$K104)="","",INDEX(Transactions!$D$5:$D$5004,$K104)))</f>
        <v/>
      </c>
      <c r="G104" s="97" t="str">
        <f aca="false">IF($K104="","",IF(INDEX(Transactions!$E$5:$E$5004,$K104)="","",INDEX(Transactions!$E$5:$E$5004,$K104)))</f>
        <v/>
      </c>
      <c r="H104" s="96" t="str">
        <f aca="false">IF($K104="","",IF(INDEX(Transactions!$F$5:$F$5004,$K104)="","",INDEX(Transactions!$F$5:$F$5004,$K104)))</f>
        <v/>
      </c>
      <c r="I104" s="96" t="str">
        <f aca="false">IF($K104="","",IF(INDEX(Transactions!$G$5:$G$5004,$K104)="","",INDEX(Transactions!$G$5:$G$5004,$K104)))</f>
        <v/>
      </c>
      <c r="K104" s="98" t="str">
        <f aca="false">IFERROR(MATCH(90,Transactions!$H$5:$H$5004,0),"")</f>
        <v/>
      </c>
    </row>
    <row r="105" customFormat="false" ht="15" hidden="false" customHeight="false" outlineLevel="0" collapsed="false">
      <c r="B105" s="93" t="str">
        <f aca="false">IF($K105="","",91)</f>
        <v/>
      </c>
      <c r="C105" s="94" t="str">
        <f aca="false">IF($K105="","",IF(INDEX(Transactions!$A$5:$A$5004,$K105)="","",INDEX(Transactions!$A$5:$A$5004,$K105)))</f>
        <v/>
      </c>
      <c r="D105" s="95" t="str">
        <f aca="false">IF($K105="","",IF(INDEX(Transactions!$B$5:$B$5004,$K105)="","",INDEX(Transactions!$B$5:$B$5004,$K105)))</f>
        <v/>
      </c>
      <c r="E105" s="96" t="str">
        <f aca="false">IF($K105="","",IF(INDEX(Transactions!$C$5:$C$5004,$K105)="","",INDEX(Transactions!$C$5:$C$5004,$K105)))</f>
        <v/>
      </c>
      <c r="F105" s="96" t="str">
        <f aca="false">IF($K105="","",IF(INDEX(Transactions!$D$5:$D$5004,$K105)="","",INDEX(Transactions!$D$5:$D$5004,$K105)))</f>
        <v/>
      </c>
      <c r="G105" s="97" t="str">
        <f aca="false">IF($K105="","",IF(INDEX(Transactions!$E$5:$E$5004,$K105)="","",INDEX(Transactions!$E$5:$E$5004,$K105)))</f>
        <v/>
      </c>
      <c r="H105" s="96" t="str">
        <f aca="false">IF($K105="","",IF(INDEX(Transactions!$F$5:$F$5004,$K105)="","",INDEX(Transactions!$F$5:$F$5004,$K105)))</f>
        <v/>
      </c>
      <c r="I105" s="96" t="str">
        <f aca="false">IF($K105="","",IF(INDEX(Transactions!$G$5:$G$5004,$K105)="","",INDEX(Transactions!$G$5:$G$5004,$K105)))</f>
        <v/>
      </c>
      <c r="K105" s="98" t="str">
        <f aca="false">IFERROR(MATCH(91,Transactions!$H$5:$H$5004,0),"")</f>
        <v/>
      </c>
    </row>
    <row r="106" customFormat="false" ht="15" hidden="false" customHeight="false" outlineLevel="0" collapsed="false">
      <c r="B106" s="93" t="str">
        <f aca="false">IF($K106="","",92)</f>
        <v/>
      </c>
      <c r="C106" s="94" t="str">
        <f aca="false">IF($K106="","",IF(INDEX(Transactions!$A$5:$A$5004,$K106)="","",INDEX(Transactions!$A$5:$A$5004,$K106)))</f>
        <v/>
      </c>
      <c r="D106" s="95" t="str">
        <f aca="false">IF($K106="","",IF(INDEX(Transactions!$B$5:$B$5004,$K106)="","",INDEX(Transactions!$B$5:$B$5004,$K106)))</f>
        <v/>
      </c>
      <c r="E106" s="96" t="str">
        <f aca="false">IF($K106="","",IF(INDEX(Transactions!$C$5:$C$5004,$K106)="","",INDEX(Transactions!$C$5:$C$5004,$K106)))</f>
        <v/>
      </c>
      <c r="F106" s="96" t="str">
        <f aca="false">IF($K106="","",IF(INDEX(Transactions!$D$5:$D$5004,$K106)="","",INDEX(Transactions!$D$5:$D$5004,$K106)))</f>
        <v/>
      </c>
      <c r="G106" s="97" t="str">
        <f aca="false">IF($K106="","",IF(INDEX(Transactions!$E$5:$E$5004,$K106)="","",INDEX(Transactions!$E$5:$E$5004,$K106)))</f>
        <v/>
      </c>
      <c r="H106" s="96" t="str">
        <f aca="false">IF($K106="","",IF(INDEX(Transactions!$F$5:$F$5004,$K106)="","",INDEX(Transactions!$F$5:$F$5004,$K106)))</f>
        <v/>
      </c>
      <c r="I106" s="96" t="str">
        <f aca="false">IF($K106="","",IF(INDEX(Transactions!$G$5:$G$5004,$K106)="","",INDEX(Transactions!$G$5:$G$5004,$K106)))</f>
        <v/>
      </c>
      <c r="K106" s="98" t="str">
        <f aca="false">IFERROR(MATCH(92,Transactions!$H$5:$H$5004,0),"")</f>
        <v/>
      </c>
    </row>
    <row r="107" customFormat="false" ht="15" hidden="false" customHeight="false" outlineLevel="0" collapsed="false">
      <c r="B107" s="93" t="str">
        <f aca="false">IF($K107="","",93)</f>
        <v/>
      </c>
      <c r="C107" s="94" t="str">
        <f aca="false">IF($K107="","",IF(INDEX(Transactions!$A$5:$A$5004,$K107)="","",INDEX(Transactions!$A$5:$A$5004,$K107)))</f>
        <v/>
      </c>
      <c r="D107" s="95" t="str">
        <f aca="false">IF($K107="","",IF(INDEX(Transactions!$B$5:$B$5004,$K107)="","",INDEX(Transactions!$B$5:$B$5004,$K107)))</f>
        <v/>
      </c>
      <c r="E107" s="96" t="str">
        <f aca="false">IF($K107="","",IF(INDEX(Transactions!$C$5:$C$5004,$K107)="","",INDEX(Transactions!$C$5:$C$5004,$K107)))</f>
        <v/>
      </c>
      <c r="F107" s="96" t="str">
        <f aca="false">IF($K107="","",IF(INDEX(Transactions!$D$5:$D$5004,$K107)="","",INDEX(Transactions!$D$5:$D$5004,$K107)))</f>
        <v/>
      </c>
      <c r="G107" s="97" t="str">
        <f aca="false">IF($K107="","",IF(INDEX(Transactions!$E$5:$E$5004,$K107)="","",INDEX(Transactions!$E$5:$E$5004,$K107)))</f>
        <v/>
      </c>
      <c r="H107" s="96" t="str">
        <f aca="false">IF($K107="","",IF(INDEX(Transactions!$F$5:$F$5004,$K107)="","",INDEX(Transactions!$F$5:$F$5004,$K107)))</f>
        <v/>
      </c>
      <c r="I107" s="96" t="str">
        <f aca="false">IF($K107="","",IF(INDEX(Transactions!$G$5:$G$5004,$K107)="","",INDEX(Transactions!$G$5:$G$5004,$K107)))</f>
        <v/>
      </c>
      <c r="K107" s="98" t="str">
        <f aca="false">IFERROR(MATCH(93,Transactions!$H$5:$H$5004,0),"")</f>
        <v/>
      </c>
    </row>
    <row r="108" customFormat="false" ht="15" hidden="false" customHeight="false" outlineLevel="0" collapsed="false">
      <c r="B108" s="93" t="str">
        <f aca="false">IF($K108="","",94)</f>
        <v/>
      </c>
      <c r="C108" s="94" t="str">
        <f aca="false">IF($K108="","",IF(INDEX(Transactions!$A$5:$A$5004,$K108)="","",INDEX(Transactions!$A$5:$A$5004,$K108)))</f>
        <v/>
      </c>
      <c r="D108" s="95" t="str">
        <f aca="false">IF($K108="","",IF(INDEX(Transactions!$B$5:$B$5004,$K108)="","",INDEX(Transactions!$B$5:$B$5004,$K108)))</f>
        <v/>
      </c>
      <c r="E108" s="96" t="str">
        <f aca="false">IF($K108="","",IF(INDEX(Transactions!$C$5:$C$5004,$K108)="","",INDEX(Transactions!$C$5:$C$5004,$K108)))</f>
        <v/>
      </c>
      <c r="F108" s="96" t="str">
        <f aca="false">IF($K108="","",IF(INDEX(Transactions!$D$5:$D$5004,$K108)="","",INDEX(Transactions!$D$5:$D$5004,$K108)))</f>
        <v/>
      </c>
      <c r="G108" s="97" t="str">
        <f aca="false">IF($K108="","",IF(INDEX(Transactions!$E$5:$E$5004,$K108)="","",INDEX(Transactions!$E$5:$E$5004,$K108)))</f>
        <v/>
      </c>
      <c r="H108" s="96" t="str">
        <f aca="false">IF($K108="","",IF(INDEX(Transactions!$F$5:$F$5004,$K108)="","",INDEX(Transactions!$F$5:$F$5004,$K108)))</f>
        <v/>
      </c>
      <c r="I108" s="96" t="str">
        <f aca="false">IF($K108="","",IF(INDEX(Transactions!$G$5:$G$5004,$K108)="","",INDEX(Transactions!$G$5:$G$5004,$K108)))</f>
        <v/>
      </c>
      <c r="K108" s="98" t="str">
        <f aca="false">IFERROR(MATCH(94,Transactions!$H$5:$H$5004,0),"")</f>
        <v/>
      </c>
    </row>
    <row r="109" customFormat="false" ht="15" hidden="false" customHeight="false" outlineLevel="0" collapsed="false">
      <c r="B109" s="93" t="str">
        <f aca="false">IF($K109="","",95)</f>
        <v/>
      </c>
      <c r="C109" s="94" t="str">
        <f aca="false">IF($K109="","",IF(INDEX(Transactions!$A$5:$A$5004,$K109)="","",INDEX(Transactions!$A$5:$A$5004,$K109)))</f>
        <v/>
      </c>
      <c r="D109" s="95" t="str">
        <f aca="false">IF($K109="","",IF(INDEX(Transactions!$B$5:$B$5004,$K109)="","",INDEX(Transactions!$B$5:$B$5004,$K109)))</f>
        <v/>
      </c>
      <c r="E109" s="96" t="str">
        <f aca="false">IF($K109="","",IF(INDEX(Transactions!$C$5:$C$5004,$K109)="","",INDEX(Transactions!$C$5:$C$5004,$K109)))</f>
        <v/>
      </c>
      <c r="F109" s="96" t="str">
        <f aca="false">IF($K109="","",IF(INDEX(Transactions!$D$5:$D$5004,$K109)="","",INDEX(Transactions!$D$5:$D$5004,$K109)))</f>
        <v/>
      </c>
      <c r="G109" s="97" t="str">
        <f aca="false">IF($K109="","",IF(INDEX(Transactions!$E$5:$E$5004,$K109)="","",INDEX(Transactions!$E$5:$E$5004,$K109)))</f>
        <v/>
      </c>
      <c r="H109" s="96" t="str">
        <f aca="false">IF($K109="","",IF(INDEX(Transactions!$F$5:$F$5004,$K109)="","",INDEX(Transactions!$F$5:$F$5004,$K109)))</f>
        <v/>
      </c>
      <c r="I109" s="96" t="str">
        <f aca="false">IF($K109="","",IF(INDEX(Transactions!$G$5:$G$5004,$K109)="","",INDEX(Transactions!$G$5:$G$5004,$K109)))</f>
        <v/>
      </c>
      <c r="K109" s="98" t="str">
        <f aca="false">IFERROR(MATCH(95,Transactions!$H$5:$H$5004,0),"")</f>
        <v/>
      </c>
    </row>
    <row r="110" customFormat="false" ht="15" hidden="false" customHeight="false" outlineLevel="0" collapsed="false">
      <c r="B110" s="93" t="str">
        <f aca="false">IF($K110="","",96)</f>
        <v/>
      </c>
      <c r="C110" s="94" t="str">
        <f aca="false">IF($K110="","",IF(INDEX(Transactions!$A$5:$A$5004,$K110)="","",INDEX(Transactions!$A$5:$A$5004,$K110)))</f>
        <v/>
      </c>
      <c r="D110" s="95" t="str">
        <f aca="false">IF($K110="","",IF(INDEX(Transactions!$B$5:$B$5004,$K110)="","",INDEX(Transactions!$B$5:$B$5004,$K110)))</f>
        <v/>
      </c>
      <c r="E110" s="96" t="str">
        <f aca="false">IF($K110="","",IF(INDEX(Transactions!$C$5:$C$5004,$K110)="","",INDEX(Transactions!$C$5:$C$5004,$K110)))</f>
        <v/>
      </c>
      <c r="F110" s="96" t="str">
        <f aca="false">IF($K110="","",IF(INDEX(Transactions!$D$5:$D$5004,$K110)="","",INDEX(Transactions!$D$5:$D$5004,$K110)))</f>
        <v/>
      </c>
      <c r="G110" s="97" t="str">
        <f aca="false">IF($K110="","",IF(INDEX(Transactions!$E$5:$E$5004,$K110)="","",INDEX(Transactions!$E$5:$E$5004,$K110)))</f>
        <v/>
      </c>
      <c r="H110" s="96" t="str">
        <f aca="false">IF($K110="","",IF(INDEX(Transactions!$F$5:$F$5004,$K110)="","",INDEX(Transactions!$F$5:$F$5004,$K110)))</f>
        <v/>
      </c>
      <c r="I110" s="96" t="str">
        <f aca="false">IF($K110="","",IF(INDEX(Transactions!$G$5:$G$5004,$K110)="","",INDEX(Transactions!$G$5:$G$5004,$K110)))</f>
        <v/>
      </c>
      <c r="K110" s="98" t="str">
        <f aca="false">IFERROR(MATCH(96,Transactions!$H$5:$H$5004,0),"")</f>
        <v/>
      </c>
    </row>
    <row r="111" customFormat="false" ht="15" hidden="false" customHeight="false" outlineLevel="0" collapsed="false">
      <c r="B111" s="93" t="str">
        <f aca="false">IF($K111="","",97)</f>
        <v/>
      </c>
      <c r="C111" s="94" t="str">
        <f aca="false">IF($K111="","",IF(INDEX(Transactions!$A$5:$A$5004,$K111)="","",INDEX(Transactions!$A$5:$A$5004,$K111)))</f>
        <v/>
      </c>
      <c r="D111" s="95" t="str">
        <f aca="false">IF($K111="","",IF(INDEX(Transactions!$B$5:$B$5004,$K111)="","",INDEX(Transactions!$B$5:$B$5004,$K111)))</f>
        <v/>
      </c>
      <c r="E111" s="96" t="str">
        <f aca="false">IF($K111="","",IF(INDEX(Transactions!$C$5:$C$5004,$K111)="","",INDEX(Transactions!$C$5:$C$5004,$K111)))</f>
        <v/>
      </c>
      <c r="F111" s="96" t="str">
        <f aca="false">IF($K111="","",IF(INDEX(Transactions!$D$5:$D$5004,$K111)="","",INDEX(Transactions!$D$5:$D$5004,$K111)))</f>
        <v/>
      </c>
      <c r="G111" s="97" t="str">
        <f aca="false">IF($K111="","",IF(INDEX(Transactions!$E$5:$E$5004,$K111)="","",INDEX(Transactions!$E$5:$E$5004,$K111)))</f>
        <v/>
      </c>
      <c r="H111" s="96" t="str">
        <f aca="false">IF($K111="","",IF(INDEX(Transactions!$F$5:$F$5004,$K111)="","",INDEX(Transactions!$F$5:$F$5004,$K111)))</f>
        <v/>
      </c>
      <c r="I111" s="96" t="str">
        <f aca="false">IF($K111="","",IF(INDEX(Transactions!$G$5:$G$5004,$K111)="","",INDEX(Transactions!$G$5:$G$5004,$K111)))</f>
        <v/>
      </c>
      <c r="K111" s="98" t="str">
        <f aca="false">IFERROR(MATCH(97,Transactions!$H$5:$H$5004,0),"")</f>
        <v/>
      </c>
    </row>
    <row r="112" customFormat="false" ht="15" hidden="false" customHeight="false" outlineLevel="0" collapsed="false">
      <c r="B112" s="93" t="str">
        <f aca="false">IF($K112="","",98)</f>
        <v/>
      </c>
      <c r="C112" s="94" t="str">
        <f aca="false">IF($K112="","",IF(INDEX(Transactions!$A$5:$A$5004,$K112)="","",INDEX(Transactions!$A$5:$A$5004,$K112)))</f>
        <v/>
      </c>
      <c r="D112" s="95" t="str">
        <f aca="false">IF($K112="","",IF(INDEX(Transactions!$B$5:$B$5004,$K112)="","",INDEX(Transactions!$B$5:$B$5004,$K112)))</f>
        <v/>
      </c>
      <c r="E112" s="96" t="str">
        <f aca="false">IF($K112="","",IF(INDEX(Transactions!$C$5:$C$5004,$K112)="","",INDEX(Transactions!$C$5:$C$5004,$K112)))</f>
        <v/>
      </c>
      <c r="F112" s="96" t="str">
        <f aca="false">IF($K112="","",IF(INDEX(Transactions!$D$5:$D$5004,$K112)="","",INDEX(Transactions!$D$5:$D$5004,$K112)))</f>
        <v/>
      </c>
      <c r="G112" s="97" t="str">
        <f aca="false">IF($K112="","",IF(INDEX(Transactions!$E$5:$E$5004,$K112)="","",INDEX(Transactions!$E$5:$E$5004,$K112)))</f>
        <v/>
      </c>
      <c r="H112" s="96" t="str">
        <f aca="false">IF($K112="","",IF(INDEX(Transactions!$F$5:$F$5004,$K112)="","",INDEX(Transactions!$F$5:$F$5004,$K112)))</f>
        <v/>
      </c>
      <c r="I112" s="96" t="str">
        <f aca="false">IF($K112="","",IF(INDEX(Transactions!$G$5:$G$5004,$K112)="","",INDEX(Transactions!$G$5:$G$5004,$K112)))</f>
        <v/>
      </c>
      <c r="K112" s="98" t="str">
        <f aca="false">IFERROR(MATCH(98,Transactions!$H$5:$H$5004,0),"")</f>
        <v/>
      </c>
    </row>
    <row r="113" customFormat="false" ht="15" hidden="false" customHeight="false" outlineLevel="0" collapsed="false">
      <c r="B113" s="93" t="str">
        <f aca="false">IF($K113="","",99)</f>
        <v/>
      </c>
      <c r="C113" s="94" t="str">
        <f aca="false">IF($K113="","",IF(INDEX(Transactions!$A$5:$A$5004,$K113)="","",INDEX(Transactions!$A$5:$A$5004,$K113)))</f>
        <v/>
      </c>
      <c r="D113" s="95" t="str">
        <f aca="false">IF($K113="","",IF(INDEX(Transactions!$B$5:$B$5004,$K113)="","",INDEX(Transactions!$B$5:$B$5004,$K113)))</f>
        <v/>
      </c>
      <c r="E113" s="96" t="str">
        <f aca="false">IF($K113="","",IF(INDEX(Transactions!$C$5:$C$5004,$K113)="","",INDEX(Transactions!$C$5:$C$5004,$K113)))</f>
        <v/>
      </c>
      <c r="F113" s="96" t="str">
        <f aca="false">IF($K113="","",IF(INDEX(Transactions!$D$5:$D$5004,$K113)="","",INDEX(Transactions!$D$5:$D$5004,$K113)))</f>
        <v/>
      </c>
      <c r="G113" s="97" t="str">
        <f aca="false">IF($K113="","",IF(INDEX(Transactions!$E$5:$E$5004,$K113)="","",INDEX(Transactions!$E$5:$E$5004,$K113)))</f>
        <v/>
      </c>
      <c r="H113" s="96" t="str">
        <f aca="false">IF($K113="","",IF(INDEX(Transactions!$F$5:$F$5004,$K113)="","",INDEX(Transactions!$F$5:$F$5004,$K113)))</f>
        <v/>
      </c>
      <c r="I113" s="96" t="str">
        <f aca="false">IF($K113="","",IF(INDEX(Transactions!$G$5:$G$5004,$K113)="","",INDEX(Transactions!$G$5:$G$5004,$K113)))</f>
        <v/>
      </c>
      <c r="K113" s="98" t="str">
        <f aca="false">IFERROR(MATCH(99,Transactions!$H$5:$H$5004,0),"")</f>
        <v/>
      </c>
    </row>
    <row r="114" customFormat="false" ht="15" hidden="false" customHeight="false" outlineLevel="0" collapsed="false">
      <c r="B114" s="93" t="str">
        <f aca="false">IF($K114="","",100)</f>
        <v/>
      </c>
      <c r="C114" s="94" t="str">
        <f aca="false">IF($K114="","",IF(INDEX(Transactions!$A$5:$A$5004,$K114)="","",INDEX(Transactions!$A$5:$A$5004,$K114)))</f>
        <v/>
      </c>
      <c r="D114" s="95" t="str">
        <f aca="false">IF($K114="","",IF(INDEX(Transactions!$B$5:$B$5004,$K114)="","",INDEX(Transactions!$B$5:$B$5004,$K114)))</f>
        <v/>
      </c>
      <c r="E114" s="96" t="str">
        <f aca="false">IF($K114="","",IF(INDEX(Transactions!$C$5:$C$5004,$K114)="","",INDEX(Transactions!$C$5:$C$5004,$K114)))</f>
        <v/>
      </c>
      <c r="F114" s="96" t="str">
        <f aca="false">IF($K114="","",IF(INDEX(Transactions!$D$5:$D$5004,$K114)="","",INDEX(Transactions!$D$5:$D$5004,$K114)))</f>
        <v/>
      </c>
      <c r="G114" s="97" t="str">
        <f aca="false">IF($K114="","",IF(INDEX(Transactions!$E$5:$E$5004,$K114)="","",INDEX(Transactions!$E$5:$E$5004,$K114)))</f>
        <v/>
      </c>
      <c r="H114" s="96" t="str">
        <f aca="false">IF($K114="","",IF(INDEX(Transactions!$F$5:$F$5004,$K114)="","",INDEX(Transactions!$F$5:$F$5004,$K114)))</f>
        <v/>
      </c>
      <c r="I114" s="96" t="str">
        <f aca="false">IF($K114="","",IF(INDEX(Transactions!$G$5:$G$5004,$K114)="","",INDEX(Transactions!$G$5:$G$5004,$K114)))</f>
        <v/>
      </c>
      <c r="K114" s="98" t="str">
        <f aca="false">IFERROR(MATCH(100,Transactions!$H$5:$H$5004,0),"")</f>
        <v/>
      </c>
    </row>
  </sheetData>
  <mergeCells count="17">
    <mergeCell ref="B1:I1"/>
    <mergeCell ref="B2:I2"/>
    <mergeCell ref="C4:D4"/>
    <mergeCell ref="F4:I4"/>
    <mergeCell ref="C5:D5"/>
    <mergeCell ref="F5:I5"/>
    <mergeCell ref="C6:D6"/>
    <mergeCell ref="F6:I6"/>
    <mergeCell ref="C7:D7"/>
    <mergeCell ref="F7:I7"/>
    <mergeCell ref="C8:D8"/>
    <mergeCell ref="F8:I8"/>
    <mergeCell ref="C9:D9"/>
    <mergeCell ref="F9:I9"/>
    <mergeCell ref="C11:D11"/>
    <mergeCell ref="F11:I12"/>
    <mergeCell ref="C12:D12"/>
  </mergeCells>
  <dataValidations count="3">
    <dataValidation allowBlank="true" errorStyle="stop" operator="between" showDropDown="false" showErrorMessage="false" showInputMessage="false" sqref="E7" type="list">
      <formula1>CategoryFilterList</formula1>
      <formula2>0</formula2>
    </dataValidation>
    <dataValidation allowBlank="true" error="Enter a valid date." errorStyle="warning" operator="greaterThan" showDropDown="false" showErrorMessage="true" showInputMessage="false" sqref="E4:E5" type="date">
      <formula1>36526</formula1>
      <formula2>0</formula2>
    </dataValidation>
    <dataValidation allowBlank="true" error="Enter a time such as 6:00 PM." errorStyle="warning" operator="between" showDropDown="false" showErrorMessage="true" showInputMessage="false" sqref="E8:E9" type="time">
      <formula1>0</formula1>
      <formula2>0.999999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5" min="3" style="0" width="17"/>
    <col collapsed="false" customWidth="true" hidden="false" outlineLevel="0" max="6" min="6" style="0" width="13"/>
    <col collapsed="false" customWidth="true" hidden="false" outlineLevel="0" max="7" min="7" style="0" width="17"/>
    <col collapsed="false" customWidth="true" hidden="false" outlineLevel="0" max="9" min="8" style="0" width="13"/>
    <col collapsed="false" customWidth="true" hidden="false" outlineLevel="0" max="10" min="10" style="0" width="3"/>
  </cols>
  <sheetData>
    <row r="1" customFormat="false" ht="37.5" hidden="false" customHeight="true" outlineLevel="0" collapsed="false">
      <c r="A1" s="1"/>
      <c r="B1" s="99" t="str">
        <f aca="false">"Year Overview - "&amp;Dashboard!$C$4</f>
        <v>Year Overview - 2026</v>
      </c>
      <c r="C1" s="99"/>
      <c r="D1" s="99"/>
      <c r="E1" s="99"/>
      <c r="F1" s="99"/>
      <c r="G1" s="99"/>
      <c r="H1" s="99"/>
      <c r="I1" s="99"/>
      <c r="J1" s="1"/>
    </row>
    <row r="2" customFormat="false" ht="15" hidden="false" customHeight="false" outlineLevel="0" collapsed="false">
      <c r="A2" s="1"/>
      <c r="B2" s="100" t="s">
        <v>166</v>
      </c>
      <c r="C2" s="100"/>
      <c r="D2" s="100"/>
      <c r="E2" s="100"/>
      <c r="F2" s="100"/>
      <c r="G2" s="100"/>
      <c r="H2" s="100"/>
      <c r="I2" s="100"/>
      <c r="J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24" hidden="false" customHeight="true" outlineLevel="0" collapsed="false">
      <c r="A4" s="1"/>
      <c r="B4" s="22" t="s">
        <v>76</v>
      </c>
      <c r="C4" s="22" t="s">
        <v>10</v>
      </c>
      <c r="D4" s="22" t="s">
        <v>90</v>
      </c>
      <c r="E4" s="22" t="s">
        <v>167</v>
      </c>
      <c r="F4" s="22" t="s">
        <v>168</v>
      </c>
      <c r="G4" s="22" t="s">
        <v>7</v>
      </c>
      <c r="H4" s="22" t="s">
        <v>169</v>
      </c>
      <c r="I4" s="22" t="s">
        <v>91</v>
      </c>
      <c r="J4" s="1"/>
    </row>
    <row r="5" customFormat="false" ht="15" hidden="false" customHeight="false" outlineLevel="0" collapsed="false">
      <c r="A5" s="64" t="n">
        <v>1</v>
      </c>
      <c r="B5" s="101" t="s">
        <v>170</v>
      </c>
      <c r="C5" s="52" t="n">
        <f aca="false">SUMIFS(Income!$D$5:$D$2004,Income!$A$5:$A$2004,"&gt;="&amp;DATE(Dashboard!$C$4,$A5,1),Income!$A$5:$A$2004,"&lt;="&amp;EOMONTH(DATE(Dashboard!$C$4,$A5,1),0))</f>
        <v>0</v>
      </c>
      <c r="D5" s="52" t="n">
        <f aca="false">SUMIFS(Transactions!$E$5:$E$5004,Transactions!$A$5:$A$5004,"&gt;="&amp;DATE(Dashboard!$C$4,$A5,1),Transactions!$A$5:$A$5004,"&lt;="&amp;EOMONTH(DATE(Dashboard!$C$4,$A5,1),0))</f>
        <v>0</v>
      </c>
      <c r="E5" s="52" t="n">
        <f aca="false">C5-D5</f>
        <v>0</v>
      </c>
      <c r="F5" s="102" t="n">
        <f aca="false">IF(C5=0,0,E5/C5)</f>
        <v>0</v>
      </c>
      <c r="G5" s="52" t="n">
        <f aca="false">SUMPRODUCT(Budget!$C$5:$C$44*((Budget!$B$5:$B$44="Monthly")+(Budget!$B$5:$B$44="Daily")*DAY(EOMONTH(DATE(Dashboard!$C$4,$A5,1),0))+(Budget!$B$5:$B$44="Weekly")*DAY(EOMONTH(DATE(Dashboard!$C$4,$A5,1),0))/7)*(Budget!$D$5:$D$44&lt;=EOMONTH(DATE(Dashboard!$C$4,$A5,1),0))*(((Budget!$E$5:$E$44="")+(Budget!$E$5:$E$44&gt;=DATE(Dashboard!$C$4,$A5,1)))&gt;0))</f>
        <v>0</v>
      </c>
      <c r="H5" s="102" t="n">
        <f aca="false">IF(G5=0,0,D5/G5)</f>
        <v>0</v>
      </c>
      <c r="I5" s="50" t="str">
        <f aca="false">IF(OR(G5=0,AND(D5=0,C5=0)),"-",IF(D5&gt;G5,"OVER",IF(D5&gt;=WarnPct*G5,"Watch","OK")))</f>
        <v>-</v>
      </c>
      <c r="J5" s="1"/>
    </row>
    <row r="6" customFormat="false" ht="15" hidden="false" customHeight="false" outlineLevel="0" collapsed="false">
      <c r="A6" s="64" t="n">
        <v>2</v>
      </c>
      <c r="B6" s="101" t="s">
        <v>171</v>
      </c>
      <c r="C6" s="52" t="n">
        <f aca="false">SUMIFS(Income!$D$5:$D$2004,Income!$A$5:$A$2004,"&gt;="&amp;DATE(Dashboard!$C$4,$A6,1),Income!$A$5:$A$2004,"&lt;="&amp;EOMONTH(DATE(Dashboard!$C$4,$A6,1),0))</f>
        <v>0</v>
      </c>
      <c r="D6" s="52" t="n">
        <f aca="false">SUMIFS(Transactions!$E$5:$E$5004,Transactions!$A$5:$A$5004,"&gt;="&amp;DATE(Dashboard!$C$4,$A6,1),Transactions!$A$5:$A$5004,"&lt;="&amp;EOMONTH(DATE(Dashboard!$C$4,$A6,1),0))</f>
        <v>0</v>
      </c>
      <c r="E6" s="52" t="n">
        <f aca="false">C6-D6</f>
        <v>0</v>
      </c>
      <c r="F6" s="102" t="n">
        <f aca="false">IF(C6=0,0,E6/C6)</f>
        <v>0</v>
      </c>
      <c r="G6" s="52" t="n">
        <f aca="false">SUMPRODUCT(Budget!$C$5:$C$44*((Budget!$B$5:$B$44="Monthly")+(Budget!$B$5:$B$44="Daily")*DAY(EOMONTH(DATE(Dashboard!$C$4,$A6,1),0))+(Budget!$B$5:$B$44="Weekly")*DAY(EOMONTH(DATE(Dashboard!$C$4,$A6,1),0))/7)*(Budget!$D$5:$D$44&lt;=EOMONTH(DATE(Dashboard!$C$4,$A6,1),0))*(((Budget!$E$5:$E$44="")+(Budget!$E$5:$E$44&gt;=DATE(Dashboard!$C$4,$A6,1)))&gt;0))</f>
        <v>0</v>
      </c>
      <c r="H6" s="102" t="n">
        <f aca="false">IF(G6=0,0,D6/G6)</f>
        <v>0</v>
      </c>
      <c r="I6" s="50" t="str">
        <f aca="false">IF(OR(G6=0,AND(D6=0,C6=0)),"-",IF(D6&gt;G6,"OVER",IF(D6&gt;=WarnPct*G6,"Watch","OK")))</f>
        <v>-</v>
      </c>
      <c r="J6" s="1"/>
    </row>
    <row r="7" customFormat="false" ht="15" hidden="false" customHeight="false" outlineLevel="0" collapsed="false">
      <c r="A7" s="64" t="n">
        <v>3</v>
      </c>
      <c r="B7" s="101" t="s">
        <v>172</v>
      </c>
      <c r="C7" s="52" t="n">
        <f aca="false">SUMIFS(Income!$D$5:$D$2004,Income!$A$5:$A$2004,"&gt;="&amp;DATE(Dashboard!$C$4,$A7,1),Income!$A$5:$A$2004,"&lt;="&amp;EOMONTH(DATE(Dashboard!$C$4,$A7,1),0))</f>
        <v>0</v>
      </c>
      <c r="D7" s="52" t="n">
        <f aca="false">SUMIFS(Transactions!$E$5:$E$5004,Transactions!$A$5:$A$5004,"&gt;="&amp;DATE(Dashboard!$C$4,$A7,1),Transactions!$A$5:$A$5004,"&lt;="&amp;EOMONTH(DATE(Dashboard!$C$4,$A7,1),0))</f>
        <v>0</v>
      </c>
      <c r="E7" s="52" t="n">
        <f aca="false">C7-D7</f>
        <v>0</v>
      </c>
      <c r="F7" s="102" t="n">
        <f aca="false">IF(C7=0,0,E7/C7)</f>
        <v>0</v>
      </c>
      <c r="G7" s="52" t="n">
        <f aca="false">SUMPRODUCT(Budget!$C$5:$C$44*((Budget!$B$5:$B$44="Monthly")+(Budget!$B$5:$B$44="Daily")*DAY(EOMONTH(DATE(Dashboard!$C$4,$A7,1),0))+(Budget!$B$5:$B$44="Weekly")*DAY(EOMONTH(DATE(Dashboard!$C$4,$A7,1),0))/7)*(Budget!$D$5:$D$44&lt;=EOMONTH(DATE(Dashboard!$C$4,$A7,1),0))*(((Budget!$E$5:$E$44="")+(Budget!$E$5:$E$44&gt;=DATE(Dashboard!$C$4,$A7,1)))&gt;0))</f>
        <v>0</v>
      </c>
      <c r="H7" s="102" t="n">
        <f aca="false">IF(G7=0,0,D7/G7)</f>
        <v>0</v>
      </c>
      <c r="I7" s="50" t="str">
        <f aca="false">IF(OR(G7=0,AND(D7=0,C7=0)),"-",IF(D7&gt;G7,"OVER",IF(D7&gt;=WarnPct*G7,"Watch","OK")))</f>
        <v>-</v>
      </c>
      <c r="J7" s="1"/>
    </row>
    <row r="8" customFormat="false" ht="15" hidden="false" customHeight="false" outlineLevel="0" collapsed="false">
      <c r="A8" s="64" t="n">
        <v>4</v>
      </c>
      <c r="B8" s="101" t="s">
        <v>173</v>
      </c>
      <c r="C8" s="52" t="n">
        <f aca="false">SUMIFS(Income!$D$5:$D$2004,Income!$A$5:$A$2004,"&gt;="&amp;DATE(Dashboard!$C$4,$A8,1),Income!$A$5:$A$2004,"&lt;="&amp;EOMONTH(DATE(Dashboard!$C$4,$A8,1),0))</f>
        <v>0</v>
      </c>
      <c r="D8" s="52" t="n">
        <f aca="false">SUMIFS(Transactions!$E$5:$E$5004,Transactions!$A$5:$A$5004,"&gt;="&amp;DATE(Dashboard!$C$4,$A8,1),Transactions!$A$5:$A$5004,"&lt;="&amp;EOMONTH(DATE(Dashboard!$C$4,$A8,1),0))</f>
        <v>0</v>
      </c>
      <c r="E8" s="52" t="n">
        <f aca="false">C8-D8</f>
        <v>0</v>
      </c>
      <c r="F8" s="102" t="n">
        <f aca="false">IF(C8=0,0,E8/C8)</f>
        <v>0</v>
      </c>
      <c r="G8" s="52" t="n">
        <f aca="false">SUMPRODUCT(Budget!$C$5:$C$44*((Budget!$B$5:$B$44="Monthly")+(Budget!$B$5:$B$44="Daily")*DAY(EOMONTH(DATE(Dashboard!$C$4,$A8,1),0))+(Budget!$B$5:$B$44="Weekly")*DAY(EOMONTH(DATE(Dashboard!$C$4,$A8,1),0))/7)*(Budget!$D$5:$D$44&lt;=EOMONTH(DATE(Dashboard!$C$4,$A8,1),0))*(((Budget!$E$5:$E$44="")+(Budget!$E$5:$E$44&gt;=DATE(Dashboard!$C$4,$A8,1)))&gt;0))</f>
        <v>0</v>
      </c>
      <c r="H8" s="102" t="n">
        <f aca="false">IF(G8=0,0,D8/G8)</f>
        <v>0</v>
      </c>
      <c r="I8" s="50" t="str">
        <f aca="false">IF(OR(G8=0,AND(D8=0,C8=0)),"-",IF(D8&gt;G8,"OVER",IF(D8&gt;=WarnPct*G8,"Watch","OK")))</f>
        <v>-</v>
      </c>
      <c r="J8" s="1"/>
    </row>
    <row r="9" customFormat="false" ht="15" hidden="false" customHeight="false" outlineLevel="0" collapsed="false">
      <c r="A9" s="64" t="n">
        <v>5</v>
      </c>
      <c r="B9" s="101" t="s">
        <v>174</v>
      </c>
      <c r="C9" s="52" t="n">
        <f aca="false">SUMIFS(Income!$D$5:$D$2004,Income!$A$5:$A$2004,"&gt;="&amp;DATE(Dashboard!$C$4,$A9,1),Income!$A$5:$A$2004,"&lt;="&amp;EOMONTH(DATE(Dashboard!$C$4,$A9,1),0))</f>
        <v>0</v>
      </c>
      <c r="D9" s="52" t="n">
        <f aca="false">SUMIFS(Transactions!$E$5:$E$5004,Transactions!$A$5:$A$5004,"&gt;="&amp;DATE(Dashboard!$C$4,$A9,1),Transactions!$A$5:$A$5004,"&lt;="&amp;EOMONTH(DATE(Dashboard!$C$4,$A9,1),0))</f>
        <v>0</v>
      </c>
      <c r="E9" s="52" t="n">
        <f aca="false">C9-D9</f>
        <v>0</v>
      </c>
      <c r="F9" s="102" t="n">
        <f aca="false">IF(C9=0,0,E9/C9)</f>
        <v>0</v>
      </c>
      <c r="G9" s="52" t="n">
        <f aca="false">SUMPRODUCT(Budget!$C$5:$C$44*((Budget!$B$5:$B$44="Monthly")+(Budget!$B$5:$B$44="Daily")*DAY(EOMONTH(DATE(Dashboard!$C$4,$A9,1),0))+(Budget!$B$5:$B$44="Weekly")*DAY(EOMONTH(DATE(Dashboard!$C$4,$A9,1),0))/7)*(Budget!$D$5:$D$44&lt;=EOMONTH(DATE(Dashboard!$C$4,$A9,1),0))*(((Budget!$E$5:$E$44="")+(Budget!$E$5:$E$44&gt;=DATE(Dashboard!$C$4,$A9,1)))&gt;0))</f>
        <v>0</v>
      </c>
      <c r="H9" s="102" t="n">
        <f aca="false">IF(G9=0,0,D9/G9)</f>
        <v>0</v>
      </c>
      <c r="I9" s="50" t="str">
        <f aca="false">IF(OR(G9=0,AND(D9=0,C9=0)),"-",IF(D9&gt;G9,"OVER",IF(D9&gt;=WarnPct*G9,"Watch","OK")))</f>
        <v>-</v>
      </c>
      <c r="J9" s="1"/>
    </row>
    <row r="10" customFormat="false" ht="15" hidden="false" customHeight="false" outlineLevel="0" collapsed="false">
      <c r="A10" s="64" t="n">
        <v>6</v>
      </c>
      <c r="B10" s="101" t="s">
        <v>175</v>
      </c>
      <c r="C10" s="52" t="n">
        <f aca="false">SUMIFS(Income!$D$5:$D$2004,Income!$A$5:$A$2004,"&gt;="&amp;DATE(Dashboard!$C$4,$A10,1),Income!$A$5:$A$2004,"&lt;="&amp;EOMONTH(DATE(Dashboard!$C$4,$A10,1),0))</f>
        <v>0</v>
      </c>
      <c r="D10" s="52" t="n">
        <f aca="false">SUMIFS(Transactions!$E$5:$E$5004,Transactions!$A$5:$A$5004,"&gt;="&amp;DATE(Dashboard!$C$4,$A10,1),Transactions!$A$5:$A$5004,"&lt;="&amp;EOMONTH(DATE(Dashboard!$C$4,$A10,1),0))</f>
        <v>0</v>
      </c>
      <c r="E10" s="52" t="n">
        <f aca="false">C10-D10</f>
        <v>0</v>
      </c>
      <c r="F10" s="102" t="n">
        <f aca="false">IF(C10=0,0,E10/C10)</f>
        <v>0</v>
      </c>
      <c r="G10" s="52" t="n">
        <f aca="false">SUMPRODUCT(Budget!$C$5:$C$44*((Budget!$B$5:$B$44="Monthly")+(Budget!$B$5:$B$44="Daily")*DAY(EOMONTH(DATE(Dashboard!$C$4,$A10,1),0))+(Budget!$B$5:$B$44="Weekly")*DAY(EOMONTH(DATE(Dashboard!$C$4,$A10,1),0))/7)*(Budget!$D$5:$D$44&lt;=EOMONTH(DATE(Dashboard!$C$4,$A10,1),0))*(((Budget!$E$5:$E$44="")+(Budget!$E$5:$E$44&gt;=DATE(Dashboard!$C$4,$A10,1)))&gt;0))</f>
        <v>0</v>
      </c>
      <c r="H10" s="102" t="n">
        <f aca="false">IF(G10=0,0,D10/G10)</f>
        <v>0</v>
      </c>
      <c r="I10" s="50" t="str">
        <f aca="false">IF(OR(G10=0,AND(D10=0,C10=0)),"-",IF(D10&gt;G10,"OVER",IF(D10&gt;=WarnPct*G10,"Watch","OK")))</f>
        <v>-</v>
      </c>
      <c r="J10" s="1"/>
    </row>
    <row r="11" customFormat="false" ht="15" hidden="false" customHeight="false" outlineLevel="0" collapsed="false">
      <c r="A11" s="64" t="n">
        <v>7</v>
      </c>
      <c r="B11" s="101" t="s">
        <v>176</v>
      </c>
      <c r="C11" s="52" t="n">
        <f aca="false">SUMIFS(Income!$D$5:$D$2004,Income!$A$5:$A$2004,"&gt;="&amp;DATE(Dashboard!$C$4,$A11,1),Income!$A$5:$A$2004,"&lt;="&amp;EOMONTH(DATE(Dashboard!$C$4,$A11,1),0))</f>
        <v>0</v>
      </c>
      <c r="D11" s="52" t="n">
        <f aca="false">SUMIFS(Transactions!$E$5:$E$5004,Transactions!$A$5:$A$5004,"&gt;="&amp;DATE(Dashboard!$C$4,$A11,1),Transactions!$A$5:$A$5004,"&lt;="&amp;EOMONTH(DATE(Dashboard!$C$4,$A11,1),0))</f>
        <v>0</v>
      </c>
      <c r="E11" s="52" t="n">
        <f aca="false">C11-D11</f>
        <v>0</v>
      </c>
      <c r="F11" s="102" t="n">
        <f aca="false">IF(C11=0,0,E11/C11)</f>
        <v>0</v>
      </c>
      <c r="G11" s="52" t="n">
        <f aca="false">SUMPRODUCT(Budget!$C$5:$C$44*((Budget!$B$5:$B$44="Monthly")+(Budget!$B$5:$B$44="Daily")*DAY(EOMONTH(DATE(Dashboard!$C$4,$A11,1),0))+(Budget!$B$5:$B$44="Weekly")*DAY(EOMONTH(DATE(Dashboard!$C$4,$A11,1),0))/7)*(Budget!$D$5:$D$44&lt;=EOMONTH(DATE(Dashboard!$C$4,$A11,1),0))*(((Budget!$E$5:$E$44="")+(Budget!$E$5:$E$44&gt;=DATE(Dashboard!$C$4,$A11,1)))&gt;0))</f>
        <v>0</v>
      </c>
      <c r="H11" s="102" t="n">
        <f aca="false">IF(G11=0,0,D11/G11)</f>
        <v>0</v>
      </c>
      <c r="I11" s="50" t="str">
        <f aca="false">IF(OR(G11=0,AND(D11=0,C11=0)),"-",IF(D11&gt;G11,"OVER",IF(D11&gt;=WarnPct*G11,"Watch","OK")))</f>
        <v>-</v>
      </c>
      <c r="J11" s="1"/>
    </row>
    <row r="12" customFormat="false" ht="15" hidden="false" customHeight="false" outlineLevel="0" collapsed="false">
      <c r="A12" s="64" t="n">
        <v>8</v>
      </c>
      <c r="B12" s="101" t="s">
        <v>177</v>
      </c>
      <c r="C12" s="52" t="n">
        <f aca="false">SUMIFS(Income!$D$5:$D$2004,Income!$A$5:$A$2004,"&gt;="&amp;DATE(Dashboard!$C$4,$A12,1),Income!$A$5:$A$2004,"&lt;="&amp;EOMONTH(DATE(Dashboard!$C$4,$A12,1),0))</f>
        <v>0</v>
      </c>
      <c r="D12" s="52" t="n">
        <f aca="false">SUMIFS(Transactions!$E$5:$E$5004,Transactions!$A$5:$A$5004,"&gt;="&amp;DATE(Dashboard!$C$4,$A12,1),Transactions!$A$5:$A$5004,"&lt;="&amp;EOMONTH(DATE(Dashboard!$C$4,$A12,1),0))</f>
        <v>0</v>
      </c>
      <c r="E12" s="52" t="n">
        <f aca="false">C12-D12</f>
        <v>0</v>
      </c>
      <c r="F12" s="102" t="n">
        <f aca="false">IF(C12=0,0,E12/C12)</f>
        <v>0</v>
      </c>
      <c r="G12" s="52" t="n">
        <f aca="false">SUMPRODUCT(Budget!$C$5:$C$44*((Budget!$B$5:$B$44="Monthly")+(Budget!$B$5:$B$44="Daily")*DAY(EOMONTH(DATE(Dashboard!$C$4,$A12,1),0))+(Budget!$B$5:$B$44="Weekly")*DAY(EOMONTH(DATE(Dashboard!$C$4,$A12,1),0))/7)*(Budget!$D$5:$D$44&lt;=EOMONTH(DATE(Dashboard!$C$4,$A12,1),0))*(((Budget!$E$5:$E$44="")+(Budget!$E$5:$E$44&gt;=DATE(Dashboard!$C$4,$A12,1)))&gt;0))</f>
        <v>0</v>
      </c>
      <c r="H12" s="102" t="n">
        <f aca="false">IF(G12=0,0,D12/G12)</f>
        <v>0</v>
      </c>
      <c r="I12" s="50" t="str">
        <f aca="false">IF(OR(G12=0,AND(D12=0,C12=0)),"-",IF(D12&gt;G12,"OVER",IF(D12&gt;=WarnPct*G12,"Watch","OK")))</f>
        <v>-</v>
      </c>
      <c r="J12" s="1"/>
    </row>
    <row r="13" customFormat="false" ht="15" hidden="false" customHeight="false" outlineLevel="0" collapsed="false">
      <c r="A13" s="64" t="n">
        <v>9</v>
      </c>
      <c r="B13" s="101" t="s">
        <v>178</v>
      </c>
      <c r="C13" s="52" t="n">
        <f aca="false">SUMIFS(Income!$D$5:$D$2004,Income!$A$5:$A$2004,"&gt;="&amp;DATE(Dashboard!$C$4,$A13,1),Income!$A$5:$A$2004,"&lt;="&amp;EOMONTH(DATE(Dashboard!$C$4,$A13,1),0))</f>
        <v>0</v>
      </c>
      <c r="D13" s="52" t="n">
        <f aca="false">SUMIFS(Transactions!$E$5:$E$5004,Transactions!$A$5:$A$5004,"&gt;="&amp;DATE(Dashboard!$C$4,$A13,1),Transactions!$A$5:$A$5004,"&lt;="&amp;EOMONTH(DATE(Dashboard!$C$4,$A13,1),0))</f>
        <v>0</v>
      </c>
      <c r="E13" s="52" t="n">
        <f aca="false">C13-D13</f>
        <v>0</v>
      </c>
      <c r="F13" s="102" t="n">
        <f aca="false">IF(C13=0,0,E13/C13)</f>
        <v>0</v>
      </c>
      <c r="G13" s="52" t="n">
        <f aca="false">SUMPRODUCT(Budget!$C$5:$C$44*((Budget!$B$5:$B$44="Monthly")+(Budget!$B$5:$B$44="Daily")*DAY(EOMONTH(DATE(Dashboard!$C$4,$A13,1),0))+(Budget!$B$5:$B$44="Weekly")*DAY(EOMONTH(DATE(Dashboard!$C$4,$A13,1),0))/7)*(Budget!$D$5:$D$44&lt;=EOMONTH(DATE(Dashboard!$C$4,$A13,1),0))*(((Budget!$E$5:$E$44="")+(Budget!$E$5:$E$44&gt;=DATE(Dashboard!$C$4,$A13,1)))&gt;0))</f>
        <v>0</v>
      </c>
      <c r="H13" s="102" t="n">
        <f aca="false">IF(G13=0,0,D13/G13)</f>
        <v>0</v>
      </c>
      <c r="I13" s="50" t="str">
        <f aca="false">IF(OR(G13=0,AND(D13=0,C13=0)),"-",IF(D13&gt;G13,"OVER",IF(D13&gt;=WarnPct*G13,"Watch","OK")))</f>
        <v>-</v>
      </c>
      <c r="J13" s="1"/>
    </row>
    <row r="14" customFormat="false" ht="15" hidden="false" customHeight="false" outlineLevel="0" collapsed="false">
      <c r="A14" s="64" t="n">
        <v>10</v>
      </c>
      <c r="B14" s="101" t="s">
        <v>78</v>
      </c>
      <c r="C14" s="52" t="n">
        <f aca="false">SUMIFS(Income!$D$5:$D$2004,Income!$A$5:$A$2004,"&gt;="&amp;DATE(Dashboard!$C$4,$A14,1),Income!$A$5:$A$2004,"&lt;="&amp;EOMONTH(DATE(Dashboard!$C$4,$A14,1),0))</f>
        <v>0</v>
      </c>
      <c r="D14" s="52" t="n">
        <f aca="false">SUMIFS(Transactions!$E$5:$E$5004,Transactions!$A$5:$A$5004,"&gt;="&amp;DATE(Dashboard!$C$4,$A14,1),Transactions!$A$5:$A$5004,"&lt;="&amp;EOMONTH(DATE(Dashboard!$C$4,$A14,1),0))</f>
        <v>0</v>
      </c>
      <c r="E14" s="52" t="n">
        <f aca="false">C14-D14</f>
        <v>0</v>
      </c>
      <c r="F14" s="102" t="n">
        <f aca="false">IF(C14=0,0,E14/C14)</f>
        <v>0</v>
      </c>
      <c r="G14" s="52" t="n">
        <f aca="false">SUMPRODUCT(Budget!$C$5:$C$44*((Budget!$B$5:$B$44="Monthly")+(Budget!$B$5:$B$44="Daily")*DAY(EOMONTH(DATE(Dashboard!$C$4,$A14,1),0))+(Budget!$B$5:$B$44="Weekly")*DAY(EOMONTH(DATE(Dashboard!$C$4,$A14,1),0))/7)*(Budget!$D$5:$D$44&lt;=EOMONTH(DATE(Dashboard!$C$4,$A14,1),0))*(((Budget!$E$5:$E$44="")+(Budget!$E$5:$E$44&gt;=DATE(Dashboard!$C$4,$A14,1)))&gt;0))</f>
        <v>0</v>
      </c>
      <c r="H14" s="102" t="n">
        <f aca="false">IF(G14=0,0,D14/G14)</f>
        <v>0</v>
      </c>
      <c r="I14" s="50" t="str">
        <f aca="false">IF(OR(G14=0,AND(D14=0,C14=0)),"-",IF(D14&gt;G14,"OVER",IF(D14&gt;=WarnPct*G14,"Watch","OK")))</f>
        <v>-</v>
      </c>
      <c r="J14" s="1"/>
    </row>
    <row r="15" customFormat="false" ht="15" hidden="false" customHeight="false" outlineLevel="0" collapsed="false">
      <c r="A15" s="64" t="n">
        <v>11</v>
      </c>
      <c r="B15" s="101" t="s">
        <v>179</v>
      </c>
      <c r="C15" s="52" t="n">
        <f aca="false">SUMIFS(Income!$D$5:$D$2004,Income!$A$5:$A$2004,"&gt;="&amp;DATE(Dashboard!$C$4,$A15,1),Income!$A$5:$A$2004,"&lt;="&amp;EOMONTH(DATE(Dashboard!$C$4,$A15,1),0))</f>
        <v>0</v>
      </c>
      <c r="D15" s="52" t="n">
        <f aca="false">SUMIFS(Transactions!$E$5:$E$5004,Transactions!$A$5:$A$5004,"&gt;="&amp;DATE(Dashboard!$C$4,$A15,1),Transactions!$A$5:$A$5004,"&lt;="&amp;EOMONTH(DATE(Dashboard!$C$4,$A15,1),0))</f>
        <v>0</v>
      </c>
      <c r="E15" s="52" t="n">
        <f aca="false">C15-D15</f>
        <v>0</v>
      </c>
      <c r="F15" s="102" t="n">
        <f aca="false">IF(C15=0,0,E15/C15)</f>
        <v>0</v>
      </c>
      <c r="G15" s="52" t="n">
        <f aca="false">SUMPRODUCT(Budget!$C$5:$C$44*((Budget!$B$5:$B$44="Monthly")+(Budget!$B$5:$B$44="Daily")*DAY(EOMONTH(DATE(Dashboard!$C$4,$A15,1),0))+(Budget!$B$5:$B$44="Weekly")*DAY(EOMONTH(DATE(Dashboard!$C$4,$A15,1),0))/7)*(Budget!$D$5:$D$44&lt;=EOMONTH(DATE(Dashboard!$C$4,$A15,1),0))*(((Budget!$E$5:$E$44="")+(Budget!$E$5:$E$44&gt;=DATE(Dashboard!$C$4,$A15,1)))&gt;0))</f>
        <v>0</v>
      </c>
      <c r="H15" s="102" t="n">
        <f aca="false">IF(G15=0,0,D15/G15)</f>
        <v>0</v>
      </c>
      <c r="I15" s="50" t="str">
        <f aca="false">IF(OR(G15=0,AND(D15=0,C15=0)),"-",IF(D15&gt;G15,"OVER",IF(D15&gt;=WarnPct*G15,"Watch","OK")))</f>
        <v>-</v>
      </c>
      <c r="J15" s="1"/>
    </row>
    <row r="16" customFormat="false" ht="15" hidden="false" customHeight="false" outlineLevel="0" collapsed="false">
      <c r="A16" s="64" t="n">
        <v>12</v>
      </c>
      <c r="B16" s="101" t="s">
        <v>180</v>
      </c>
      <c r="C16" s="52" t="n">
        <f aca="false">SUMIFS(Income!$D$5:$D$2004,Income!$A$5:$A$2004,"&gt;="&amp;DATE(Dashboard!$C$4,$A16,1),Income!$A$5:$A$2004,"&lt;="&amp;EOMONTH(DATE(Dashboard!$C$4,$A16,1),0))</f>
        <v>0</v>
      </c>
      <c r="D16" s="52" t="n">
        <f aca="false">SUMIFS(Transactions!$E$5:$E$5004,Transactions!$A$5:$A$5004,"&gt;="&amp;DATE(Dashboard!$C$4,$A16,1),Transactions!$A$5:$A$5004,"&lt;="&amp;EOMONTH(DATE(Dashboard!$C$4,$A16,1),0))</f>
        <v>0</v>
      </c>
      <c r="E16" s="52" t="n">
        <f aca="false">C16-D16</f>
        <v>0</v>
      </c>
      <c r="F16" s="102" t="n">
        <f aca="false">IF(C16=0,0,E16/C16)</f>
        <v>0</v>
      </c>
      <c r="G16" s="52" t="n">
        <f aca="false">SUMPRODUCT(Budget!$C$5:$C$44*((Budget!$B$5:$B$44="Monthly")+(Budget!$B$5:$B$44="Daily")*DAY(EOMONTH(DATE(Dashboard!$C$4,$A16,1),0))+(Budget!$B$5:$B$44="Weekly")*DAY(EOMONTH(DATE(Dashboard!$C$4,$A16,1),0))/7)*(Budget!$D$5:$D$44&lt;=EOMONTH(DATE(Dashboard!$C$4,$A16,1),0))*(((Budget!$E$5:$E$44="")+(Budget!$E$5:$E$44&gt;=DATE(Dashboard!$C$4,$A16,1)))&gt;0))</f>
        <v>0</v>
      </c>
      <c r="H16" s="102" t="n">
        <f aca="false">IF(G16=0,0,D16/G16)</f>
        <v>0</v>
      </c>
      <c r="I16" s="50" t="str">
        <f aca="false">IF(OR(G16=0,AND(D16=0,C16=0)),"-",IF(D16&gt;G16,"OVER",IF(D16&gt;=WarnPct*G16,"Watch","OK")))</f>
        <v>-</v>
      </c>
      <c r="J16" s="1"/>
    </row>
    <row r="17" customFormat="false" ht="15" hidden="false" customHeight="false" outlineLevel="0" collapsed="false">
      <c r="A17" s="1"/>
      <c r="B17" s="60" t="s">
        <v>181</v>
      </c>
      <c r="C17" s="56" t="n">
        <f aca="false">SUM(C5:C16)</f>
        <v>0</v>
      </c>
      <c r="D17" s="56" t="n">
        <f aca="false">SUM(D5:D16)</f>
        <v>0</v>
      </c>
      <c r="E17" s="56" t="n">
        <f aca="false">SUM(E5:E16)</f>
        <v>0</v>
      </c>
      <c r="F17" s="103" t="n">
        <f aca="false">IF(C17=0,0,E17/C17)</f>
        <v>0</v>
      </c>
      <c r="G17" s="56" t="n">
        <f aca="false">SUM(G5:G16)</f>
        <v>0</v>
      </c>
      <c r="H17" s="103" t="n">
        <f aca="false">IF(G17=0,0,D17/G17)</f>
        <v>0</v>
      </c>
      <c r="I17" s="55"/>
      <c r="J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sheetProtection sheet="true"/>
  <mergeCells count="2">
    <mergeCell ref="B1:I1"/>
    <mergeCell ref="B2:I2"/>
  </mergeCells>
  <conditionalFormatting sqref="I5:I16">
    <cfRule type="cellIs" priority="2" operator="equal" aboveAverage="0" equalAverage="0" bottom="0" percent="0" rank="0" text="" dxfId="3">
      <formula>"OVER"</formula>
    </cfRule>
    <cfRule type="cellIs" priority="3" operator="equal" aboveAverage="0" equalAverage="0" bottom="0" percent="0" rank="0" text="" dxfId="3">
      <formula>"No budget"</formula>
    </cfRule>
    <cfRule type="cellIs" priority="4" operator="equal" aboveAverage="0" equalAverage="0" bottom="0" percent="0" rank="0" text="" dxfId="4">
      <formula>"Watch"</formula>
    </cfRule>
    <cfRule type="cellIs" priority="5" operator="equal" aboveAverage="0" equalAverage="0" bottom="0" percent="0" rank="0" text="" dxfId="5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true"/>
  </sheetPr>
  <dimension ref="B1: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3"/>
    <col collapsed="false" customWidth="true" hidden="false" outlineLevel="0" max="10" min="10" style="0" width="32"/>
    <col collapsed="false" customWidth="true" hidden="false" outlineLevel="0" max="11" min="11" style="0" width="16"/>
  </cols>
  <sheetData>
    <row r="1" customFormat="false" ht="33.75" hidden="false" customHeight="true" outlineLevel="0" collapsed="false">
      <c r="B1" s="68" t="s">
        <v>182</v>
      </c>
      <c r="C1" s="68"/>
      <c r="D1" s="68"/>
      <c r="E1" s="68"/>
      <c r="F1" s="68"/>
      <c r="G1" s="68"/>
      <c r="H1" s="68"/>
      <c r="I1" s="68"/>
      <c r="J1" s="68"/>
      <c r="K1" s="68"/>
    </row>
    <row r="2" customFormat="false" ht="30" hidden="false" customHeight="true" outlineLevel="0" collapsed="false">
      <c r="B2" s="69" t="s">
        <v>183</v>
      </c>
      <c r="C2" s="69"/>
      <c r="D2" s="69"/>
      <c r="E2" s="69"/>
      <c r="F2" s="69"/>
      <c r="G2" s="69"/>
      <c r="H2" s="69"/>
      <c r="I2" s="69"/>
      <c r="J2" s="69"/>
      <c r="K2" s="69"/>
    </row>
    <row r="5" customFormat="false" ht="21.75" hidden="false" customHeight="true" outlineLevel="0" collapsed="false">
      <c r="B5" s="22" t="s">
        <v>184</v>
      </c>
      <c r="C5" s="22" t="s">
        <v>185</v>
      </c>
      <c r="D5" s="22" t="s">
        <v>186</v>
      </c>
      <c r="E5" s="22" t="s">
        <v>187</v>
      </c>
      <c r="F5" s="22" t="s">
        <v>188</v>
      </c>
      <c r="G5" s="22" t="s">
        <v>189</v>
      </c>
      <c r="H5" s="22" t="s">
        <v>190</v>
      </c>
      <c r="J5" s="104" t="s">
        <v>191</v>
      </c>
      <c r="K5" s="104"/>
    </row>
    <row r="6" customFormat="false" ht="15" hidden="false" customHeight="false" outlineLevel="0" collapsed="false">
      <c r="B6" s="105" t="s">
        <v>192</v>
      </c>
      <c r="C6" s="106" t="s">
        <v>157</v>
      </c>
      <c r="D6" s="105" t="s">
        <v>193</v>
      </c>
      <c r="E6" s="105" t="s">
        <v>194</v>
      </c>
      <c r="F6" s="107" t="s">
        <v>195</v>
      </c>
      <c r="G6" s="107" t="s">
        <v>170</v>
      </c>
      <c r="H6" s="108" t="n">
        <v>2024</v>
      </c>
      <c r="J6" s="107" t="s">
        <v>196</v>
      </c>
      <c r="K6" s="109" t="n">
        <f aca="false">DATE(Dashboard!$C$4,MATCH(Dashboard!$D$4,$G$6:$G$17,0),1)</f>
        <v>46296</v>
      </c>
    </row>
    <row r="7" customFormat="false" ht="15" hidden="false" customHeight="false" outlineLevel="0" collapsed="false">
      <c r="B7" s="105" t="s">
        <v>44</v>
      </c>
      <c r="C7" s="106" t="str">
        <f aca="false">IF(B6="","",B6)</f>
        <v>Food &amp; Groceries</v>
      </c>
      <c r="D7" s="105" t="s">
        <v>45</v>
      </c>
      <c r="E7" s="105" t="s">
        <v>197</v>
      </c>
      <c r="F7" s="107" t="s">
        <v>198</v>
      </c>
      <c r="G7" s="107" t="s">
        <v>171</v>
      </c>
      <c r="H7" s="108" t="n">
        <v>2025</v>
      </c>
      <c r="J7" s="107" t="s">
        <v>199</v>
      </c>
      <c r="K7" s="109" t="n">
        <f aca="false">EOMONTH(K6,0)</f>
        <v>46326</v>
      </c>
    </row>
    <row r="8" customFormat="false" ht="15" hidden="false" customHeight="false" outlineLevel="0" collapsed="false">
      <c r="B8" s="105" t="s">
        <v>200</v>
      </c>
      <c r="C8" s="106" t="str">
        <f aca="false">IF(B7="","",B7)</f>
        <v>Eating Out</v>
      </c>
      <c r="D8" s="105" t="s">
        <v>201</v>
      </c>
      <c r="E8" s="105" t="s">
        <v>202</v>
      </c>
      <c r="F8" s="107" t="s">
        <v>149</v>
      </c>
      <c r="G8" s="107" t="s">
        <v>172</v>
      </c>
      <c r="H8" s="108" t="n">
        <v>2026</v>
      </c>
      <c r="J8" s="107" t="s">
        <v>203</v>
      </c>
      <c r="K8" s="110" t="n">
        <f aca="false">DAY(K7)</f>
        <v>31</v>
      </c>
    </row>
    <row r="9" customFormat="false" ht="15" hidden="false" customHeight="false" outlineLevel="0" collapsed="false">
      <c r="B9" s="105" t="s">
        <v>204</v>
      </c>
      <c r="C9" s="106" t="str">
        <f aca="false">IF(B8="","",B8)</f>
        <v>Rent &amp; Housing</v>
      </c>
      <c r="D9" s="105" t="s">
        <v>205</v>
      </c>
      <c r="E9" s="105" t="s">
        <v>206</v>
      </c>
      <c r="G9" s="107" t="s">
        <v>173</v>
      </c>
      <c r="H9" s="108" t="n">
        <v>2027</v>
      </c>
      <c r="J9" s="107" t="s">
        <v>207</v>
      </c>
      <c r="K9" s="109" t="n">
        <f aca="true">TODAY()</f>
        <v>46322</v>
      </c>
    </row>
    <row r="10" customFormat="false" ht="15" hidden="false" customHeight="false" outlineLevel="0" collapsed="false">
      <c r="B10" s="105" t="s">
        <v>208</v>
      </c>
      <c r="C10" s="106" t="str">
        <f aca="false">IF(B9="","",B9)</f>
        <v>Utilities</v>
      </c>
      <c r="D10" s="105" t="s">
        <v>209</v>
      </c>
      <c r="E10" s="105" t="s">
        <v>210</v>
      </c>
      <c r="G10" s="107" t="s">
        <v>174</v>
      </c>
      <c r="H10" s="108" t="n">
        <v>2028</v>
      </c>
      <c r="J10" s="107" t="s">
        <v>211</v>
      </c>
      <c r="K10" s="110" t="n">
        <f aca="false">IF(K9&lt;K6,0,IF(K9&gt;K7,K8,K9-K6+1))</f>
        <v>27</v>
      </c>
    </row>
    <row r="11" customFormat="false" ht="15" hidden="false" customHeight="false" outlineLevel="0" collapsed="false">
      <c r="B11" s="105" t="s">
        <v>212</v>
      </c>
      <c r="C11" s="106" t="str">
        <f aca="false">IF(B10="","",B10)</f>
        <v>Transport &amp; Fuel</v>
      </c>
      <c r="D11" s="105" t="s">
        <v>213</v>
      </c>
      <c r="E11" s="105" t="s">
        <v>214</v>
      </c>
      <c r="G11" s="107" t="s">
        <v>175</v>
      </c>
      <c r="H11" s="108" t="n">
        <v>2029</v>
      </c>
      <c r="J11" s="107" t="s">
        <v>215</v>
      </c>
      <c r="K11" s="110" t="n">
        <f aca="false">K8-K10</f>
        <v>4</v>
      </c>
    </row>
    <row r="12" customFormat="false" ht="15" hidden="false" customHeight="false" outlineLevel="0" collapsed="false">
      <c r="B12" s="105" t="s">
        <v>216</v>
      </c>
      <c r="C12" s="106" t="str">
        <f aca="false">IF(B11="","",B11)</f>
        <v>Airtime &amp; Data</v>
      </c>
      <c r="D12" s="105"/>
      <c r="E12" s="105" t="s">
        <v>217</v>
      </c>
      <c r="G12" s="107" t="s">
        <v>176</v>
      </c>
      <c r="H12" s="108" t="n">
        <v>2030</v>
      </c>
      <c r="J12" s="107" t="s">
        <v>218</v>
      </c>
      <c r="K12" s="110" t="n">
        <f aca="false">IF(AND(K9&gt;=K6,K9&lt;=K7),1,0)</f>
        <v>1</v>
      </c>
    </row>
    <row r="13" customFormat="false" ht="15" hidden="false" customHeight="false" outlineLevel="0" collapsed="false">
      <c r="B13" s="105" t="s">
        <v>219</v>
      </c>
      <c r="C13" s="106" t="str">
        <f aca="false">IF(B12="","",B12)</f>
        <v>Health &amp; Medical</v>
      </c>
      <c r="D13" s="105"/>
      <c r="E13" s="105" t="s">
        <v>220</v>
      </c>
      <c r="G13" s="107" t="s">
        <v>177</v>
      </c>
      <c r="H13" s="108" t="n">
        <v>2031</v>
      </c>
    </row>
    <row r="14" customFormat="false" ht="15" hidden="false" customHeight="false" outlineLevel="0" collapsed="false">
      <c r="B14" s="105" t="s">
        <v>221</v>
      </c>
      <c r="C14" s="106" t="str">
        <f aca="false">IF(B13="","",B13)</f>
        <v>Education &amp; School Fees</v>
      </c>
      <c r="G14" s="107" t="s">
        <v>178</v>
      </c>
      <c r="H14" s="108" t="n">
        <v>2032</v>
      </c>
    </row>
    <row r="15" customFormat="false" ht="15" hidden="false" customHeight="false" outlineLevel="0" collapsed="false">
      <c r="B15" s="105" t="s">
        <v>222</v>
      </c>
      <c r="C15" s="106" t="str">
        <f aca="false">IF(B14="","",B14)</f>
        <v>Business Expenses</v>
      </c>
      <c r="G15" s="107" t="s">
        <v>78</v>
      </c>
      <c r="H15" s="108" t="n">
        <v>2033</v>
      </c>
      <c r="J15" s="104" t="s">
        <v>223</v>
      </c>
      <c r="K15" s="104"/>
    </row>
    <row r="16" customFormat="false" ht="27.75" hidden="false" customHeight="true" outlineLevel="0" collapsed="false">
      <c r="B16" s="105" t="s">
        <v>224</v>
      </c>
      <c r="C16" s="106" t="str">
        <f aca="false">IF(B15="","",B15)</f>
        <v>Shopping &amp; Clothing</v>
      </c>
      <c r="G16" s="107" t="s">
        <v>179</v>
      </c>
      <c r="H16" s="108" t="n">
        <v>2034</v>
      </c>
      <c r="J16" s="111" t="s">
        <v>225</v>
      </c>
      <c r="K16" s="112" t="n">
        <v>0.8</v>
      </c>
    </row>
    <row r="17" customFormat="false" ht="15" hidden="false" customHeight="false" outlineLevel="0" collapsed="false">
      <c r="B17" s="105" t="s">
        <v>226</v>
      </c>
      <c r="C17" s="106" t="str">
        <f aca="false">IF(B16="","",B16)</f>
        <v>Entertainment &amp; Leisure</v>
      </c>
      <c r="G17" s="107" t="s">
        <v>180</v>
      </c>
      <c r="H17" s="108" t="n">
        <v>2035</v>
      </c>
    </row>
    <row r="18" customFormat="false" ht="15" hidden="false" customHeight="true" outlineLevel="0" collapsed="false">
      <c r="B18" s="105" t="s">
        <v>227</v>
      </c>
      <c r="C18" s="106" t="str">
        <f aca="false">IF(B17="","",B17)</f>
        <v>Personal Care</v>
      </c>
      <c r="J18" s="69" t="s">
        <v>228</v>
      </c>
      <c r="K18" s="69"/>
    </row>
    <row r="19" customFormat="false" ht="15" hidden="false" customHeight="false" outlineLevel="0" collapsed="false">
      <c r="B19" s="105" t="s">
        <v>229</v>
      </c>
      <c r="C19" s="106" t="str">
        <f aca="false">IF(B18="","",B18)</f>
        <v>Family &amp; Support</v>
      </c>
      <c r="J19" s="69"/>
      <c r="K19" s="69"/>
    </row>
    <row r="20" customFormat="false" ht="15" hidden="false" customHeight="false" outlineLevel="0" collapsed="false">
      <c r="B20" s="105" t="s">
        <v>230</v>
      </c>
      <c r="C20" s="106" t="str">
        <f aca="false">IF(B19="","",B19)</f>
        <v>Giving &amp; Church</v>
      </c>
      <c r="J20" s="69"/>
      <c r="K20" s="69"/>
    </row>
    <row r="21" customFormat="false" ht="15" hidden="false" customHeight="false" outlineLevel="0" collapsed="false">
      <c r="B21" s="105" t="s">
        <v>213</v>
      </c>
      <c r="C21" s="106" t="str">
        <f aca="false">IF(B20="","",B20)</f>
        <v>Loans &amp; Debt</v>
      </c>
    </row>
    <row r="22" customFormat="false" ht="15" hidden="false" customHeight="false" outlineLevel="0" collapsed="false">
      <c r="C22" s="106" t="str">
        <f aca="false">IF(B21="","",B21)</f>
        <v>Other</v>
      </c>
    </row>
  </sheetData>
  <mergeCells count="5">
    <mergeCell ref="B1:K1"/>
    <mergeCell ref="B2:K2"/>
    <mergeCell ref="J5:K5"/>
    <mergeCell ref="J15:K15"/>
    <mergeCell ref="J18:K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2026-10-27T01:27:07Z</dcterms:created>
  <dc:creator>openpyxl</dc:creator>
  <dc:description/>
  <dc:language>en-US</dc:language>
  <cp:lastModifiedBy/>
  <dcterms:modified xsi:type="dcterms:W3CDTF">2026-10-27T04:27:16Z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